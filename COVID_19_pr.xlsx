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1.xml" ContentType="application/vnd.openxmlformats-officedocument.spreadsheetml.table+xml"/>
  <Override PartName="/xl/drawings/drawing2.xml" ContentType="application/vnd.openxmlformats-officedocument.drawing+xml"/>
  <Override PartName="/xl/slicers/slicer2.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D:\excel\"/>
    </mc:Choice>
  </mc:AlternateContent>
  <xr:revisionPtr revIDLastSave="0" documentId="13_ncr:9_{5F6F300D-0100-468B-8222-F59F28B2A286}" xr6:coauthVersionLast="47" xr6:coauthVersionMax="47" xr10:uidLastSave="{00000000-0000-0000-0000-000000000000}"/>
  <bookViews>
    <workbookView xWindow="-120" yWindow="-120" windowWidth="20730" windowHeight="11760" activeTab="2" xr2:uid="{DAC8847A-467A-40F9-A039-2F4AA1A6838C}"/>
  </bookViews>
  <sheets>
    <sheet name="pivot table" sheetId="3" r:id="rId1"/>
    <sheet name="country_wise_latest" sheetId="1" r:id="rId2"/>
    <sheet name="dashboard" sheetId="2" r:id="rId3"/>
  </sheets>
  <definedNames>
    <definedName name="Slicer_WHO_Region">#N/A</definedName>
  </definedNames>
  <calcPr calcId="0"/>
  <pivotCaches>
    <pivotCache cacheId="17"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6" i="3" l="1"/>
  <c r="C6" i="3"/>
  <c r="B6" i="3"/>
  <c r="A6" i="3"/>
</calcChain>
</file>

<file path=xl/sharedStrings.xml><?xml version="1.0" encoding="utf-8"?>
<sst xmlns="http://schemas.openxmlformats.org/spreadsheetml/2006/main" count="489" uniqueCount="223">
  <si>
    <t>Country/Region</t>
  </si>
  <si>
    <t>Confirmed</t>
  </si>
  <si>
    <t>Deaths</t>
  </si>
  <si>
    <t>Recovered</t>
  </si>
  <si>
    <t>Active</t>
  </si>
  <si>
    <t>New cases</t>
  </si>
  <si>
    <t>New deaths</t>
  </si>
  <si>
    <t>New recovered</t>
  </si>
  <si>
    <t>Deaths / 100 Cases</t>
  </si>
  <si>
    <t>Recovered / 100 Cases</t>
  </si>
  <si>
    <t>Deaths / 100 Recovered</t>
  </si>
  <si>
    <t>Confirmed last week</t>
  </si>
  <si>
    <t>1 week change</t>
  </si>
  <si>
    <t>1 week % increase</t>
  </si>
  <si>
    <t>WHO Region</t>
  </si>
  <si>
    <t>Afghanistan</t>
  </si>
  <si>
    <t>Eastern Mediterranean</t>
  </si>
  <si>
    <t>Albania</t>
  </si>
  <si>
    <t>Europe</t>
  </si>
  <si>
    <t>Algeria</t>
  </si>
  <si>
    <t>Africa</t>
  </si>
  <si>
    <t>Andorra</t>
  </si>
  <si>
    <t>Angola</t>
  </si>
  <si>
    <t>Antigua and Barbuda</t>
  </si>
  <si>
    <t>Americas</t>
  </si>
  <si>
    <t>Argentina</t>
  </si>
  <si>
    <t>Armenia</t>
  </si>
  <si>
    <t>Australia</t>
  </si>
  <si>
    <t>Western Pacific</t>
  </si>
  <si>
    <t>Austria</t>
  </si>
  <si>
    <t>Azerbaijan</t>
  </si>
  <si>
    <t>Bahamas</t>
  </si>
  <si>
    <t>Bahrain</t>
  </si>
  <si>
    <t>Bangladesh</t>
  </si>
  <si>
    <t>South-East Asia</t>
  </si>
  <si>
    <t>Barbados</t>
  </si>
  <si>
    <t>Belarus</t>
  </si>
  <si>
    <t>Belgium</t>
  </si>
  <si>
    <t>Belize</t>
  </si>
  <si>
    <t>Benin</t>
  </si>
  <si>
    <t>Bhutan</t>
  </si>
  <si>
    <t>Bolivia</t>
  </si>
  <si>
    <t>Bosnia and Herzegovina</t>
  </si>
  <si>
    <t>Botswana</t>
  </si>
  <si>
    <t>Brazil</t>
  </si>
  <si>
    <t>Brunei</t>
  </si>
  <si>
    <t>Bulgaria</t>
  </si>
  <si>
    <t>Burkina Faso</t>
  </si>
  <si>
    <t>Burma</t>
  </si>
  <si>
    <t>Burundi</t>
  </si>
  <si>
    <t>Cabo Verde</t>
  </si>
  <si>
    <t>Cambodia</t>
  </si>
  <si>
    <t>Cameroon</t>
  </si>
  <si>
    <t>Canada</t>
  </si>
  <si>
    <t>inf</t>
  </si>
  <si>
    <t>Central African Republic</t>
  </si>
  <si>
    <t>Chad</t>
  </si>
  <si>
    <t>Chile</t>
  </si>
  <si>
    <t>China</t>
  </si>
  <si>
    <t>Colombia</t>
  </si>
  <si>
    <t>Comoros</t>
  </si>
  <si>
    <t>Congo (Brazzaville)</t>
  </si>
  <si>
    <t>Congo (Kinshasa)</t>
  </si>
  <si>
    <t>Costa Rica</t>
  </si>
  <si>
    <t>Cote d'Ivoire</t>
  </si>
  <si>
    <t>Croatia</t>
  </si>
  <si>
    <t>Cuba</t>
  </si>
  <si>
    <t>Cyprus</t>
  </si>
  <si>
    <t>Czechia</t>
  </si>
  <si>
    <t>Denmark</t>
  </si>
  <si>
    <t>Djibouti</t>
  </si>
  <si>
    <t>Dominica</t>
  </si>
  <si>
    <t>Dominican Republic</t>
  </si>
  <si>
    <t>Ecuador</t>
  </si>
  <si>
    <t>Egypt</t>
  </si>
  <si>
    <t>El Salvador</t>
  </si>
  <si>
    <t>Equatorial Guinea</t>
  </si>
  <si>
    <t>Eritrea</t>
  </si>
  <si>
    <t>Estonia</t>
  </si>
  <si>
    <t>Eswatini</t>
  </si>
  <si>
    <t>Ethiopia</t>
  </si>
  <si>
    <t>Fiji</t>
  </si>
  <si>
    <t>Finland</t>
  </si>
  <si>
    <t>France</t>
  </si>
  <si>
    <t>Gabon</t>
  </si>
  <si>
    <t>Gambia</t>
  </si>
  <si>
    <t>Georgia</t>
  </si>
  <si>
    <t>Germany</t>
  </si>
  <si>
    <t>Ghana</t>
  </si>
  <si>
    <t>Greece</t>
  </si>
  <si>
    <t>Greenland</t>
  </si>
  <si>
    <t>Grenada</t>
  </si>
  <si>
    <t>Guatemala</t>
  </si>
  <si>
    <t>Guinea</t>
  </si>
  <si>
    <t>Guinea-Bissau</t>
  </si>
  <si>
    <t>Guyana</t>
  </si>
  <si>
    <t>Haiti</t>
  </si>
  <si>
    <t>Holy See</t>
  </si>
  <si>
    <t>Honduras</t>
  </si>
  <si>
    <t>Hungary</t>
  </si>
  <si>
    <t>Iceland</t>
  </si>
  <si>
    <t>India</t>
  </si>
  <si>
    <t>Indonesia</t>
  </si>
  <si>
    <t>Iran</t>
  </si>
  <si>
    <t>Iraq</t>
  </si>
  <si>
    <t>Ireland</t>
  </si>
  <si>
    <t>Israel</t>
  </si>
  <si>
    <t>Italy</t>
  </si>
  <si>
    <t>Jamaica</t>
  </si>
  <si>
    <t>Japan</t>
  </si>
  <si>
    <t>Jordan</t>
  </si>
  <si>
    <t>Kazakhstan</t>
  </si>
  <si>
    <t>Kenya</t>
  </si>
  <si>
    <t>Kosovo</t>
  </si>
  <si>
    <t>Kuwait</t>
  </si>
  <si>
    <t>Kyrgyzstan</t>
  </si>
  <si>
    <t>Laos</t>
  </si>
  <si>
    <t>Latvia</t>
  </si>
  <si>
    <t>Lebanon</t>
  </si>
  <si>
    <t>Lesotho</t>
  </si>
  <si>
    <t>Liberia</t>
  </si>
  <si>
    <t>Libya</t>
  </si>
  <si>
    <t>Liechtenstein</t>
  </si>
  <si>
    <t>Lithuania</t>
  </si>
  <si>
    <t>Luxembourg</t>
  </si>
  <si>
    <t>Madagascar</t>
  </si>
  <si>
    <t>Malawi</t>
  </si>
  <si>
    <t>Malaysia</t>
  </si>
  <si>
    <t>Maldives</t>
  </si>
  <si>
    <t>Mali</t>
  </si>
  <si>
    <t>Malta</t>
  </si>
  <si>
    <t>Mauritania</t>
  </si>
  <si>
    <t>Mauritius</t>
  </si>
  <si>
    <t>Mexico</t>
  </si>
  <si>
    <t>Moldova</t>
  </si>
  <si>
    <t>Monaco</t>
  </si>
  <si>
    <t>Mongolia</t>
  </si>
  <si>
    <t>Montenegro</t>
  </si>
  <si>
    <t>Morocco</t>
  </si>
  <si>
    <t>Mozambique</t>
  </si>
  <si>
    <t>Namibia</t>
  </si>
  <si>
    <t>Nepal</t>
  </si>
  <si>
    <t>Netherlands</t>
  </si>
  <si>
    <t>New Zealand</t>
  </si>
  <si>
    <t>Nicaragua</t>
  </si>
  <si>
    <t>Niger</t>
  </si>
  <si>
    <t>Nigeria</t>
  </si>
  <si>
    <t>North Macedonia</t>
  </si>
  <si>
    <t>Norway</t>
  </si>
  <si>
    <t>Oman</t>
  </si>
  <si>
    <t>Pakistan</t>
  </si>
  <si>
    <t>Panama</t>
  </si>
  <si>
    <t>Papua New Guinea</t>
  </si>
  <si>
    <t>Paraguay</t>
  </si>
  <si>
    <t>Peru</t>
  </si>
  <si>
    <t>Philippines</t>
  </si>
  <si>
    <t>Poland</t>
  </si>
  <si>
    <t>Portugal</t>
  </si>
  <si>
    <t>Qatar</t>
  </si>
  <si>
    <t>Romania</t>
  </si>
  <si>
    <t>Russia</t>
  </si>
  <si>
    <t>Rwanda</t>
  </si>
  <si>
    <t>Saint Kitts and Nevis</t>
  </si>
  <si>
    <t>Saint Lucia</t>
  </si>
  <si>
    <t>Saint Vincent and the Grenadines</t>
  </si>
  <si>
    <t>San Marino</t>
  </si>
  <si>
    <t>Sao Tome and Principe</t>
  </si>
  <si>
    <t>Saudi Arabia</t>
  </si>
  <si>
    <t>Senegal</t>
  </si>
  <si>
    <t>Serbia</t>
  </si>
  <si>
    <t>Seychelles</t>
  </si>
  <si>
    <t>Sierra Leone</t>
  </si>
  <si>
    <t>Singapore</t>
  </si>
  <si>
    <t>Slovakia</t>
  </si>
  <si>
    <t>Slovenia</t>
  </si>
  <si>
    <t>Somalia</t>
  </si>
  <si>
    <t>South Africa</t>
  </si>
  <si>
    <t>South Korea</t>
  </si>
  <si>
    <t>South Sudan</t>
  </si>
  <si>
    <t>Spain</t>
  </si>
  <si>
    <t>Sri Lanka</t>
  </si>
  <si>
    <t>Sudan</t>
  </si>
  <si>
    <t>Suriname</t>
  </si>
  <si>
    <t>Sweden</t>
  </si>
  <si>
    <t>Switzerland</t>
  </si>
  <si>
    <t>Syria</t>
  </si>
  <si>
    <t>Taiwan*</t>
  </si>
  <si>
    <t>Tajikistan</t>
  </si>
  <si>
    <t>Tanzania</t>
  </si>
  <si>
    <t>Thailand</t>
  </si>
  <si>
    <t>Timor-Leste</t>
  </si>
  <si>
    <t>Togo</t>
  </si>
  <si>
    <t>Trinidad and Tobago</t>
  </si>
  <si>
    <t>Tunisia</t>
  </si>
  <si>
    <t>Turkey</t>
  </si>
  <si>
    <t>US</t>
  </si>
  <si>
    <t>Uganda</t>
  </si>
  <si>
    <t>Ukraine</t>
  </si>
  <si>
    <t>United Arab Emirates</t>
  </si>
  <si>
    <t>United Kingdom</t>
  </si>
  <si>
    <t>Uruguay</t>
  </si>
  <si>
    <t>Uzbekistan</t>
  </si>
  <si>
    <t>Venezuela</t>
  </si>
  <si>
    <t>Vietnam</t>
  </si>
  <si>
    <t>West Bank and Gaza</t>
  </si>
  <si>
    <t>Western Sahara</t>
  </si>
  <si>
    <t>Yemen</t>
  </si>
  <si>
    <t>Zambia</t>
  </si>
  <si>
    <t>Zimbabwe</t>
  </si>
  <si>
    <t>Row Labels</t>
  </si>
  <si>
    <t>Grand Total</t>
  </si>
  <si>
    <t>Sum of Confirmed</t>
  </si>
  <si>
    <t>Sum of Deaths</t>
  </si>
  <si>
    <t>Sum of Recovered</t>
  </si>
  <si>
    <t>Sum of Active</t>
  </si>
  <si>
    <t>Sum of New cases</t>
  </si>
  <si>
    <t>Sum of New deaths</t>
  </si>
  <si>
    <t>Sum of New recovered</t>
  </si>
  <si>
    <t>Sum of Deaths / 100 Cases</t>
  </si>
  <si>
    <t>Sum of 1 week change</t>
  </si>
  <si>
    <t>Sum of 1 week % increase</t>
  </si>
  <si>
    <t>Sum of Confirmed last week</t>
  </si>
  <si>
    <t>Sum of Recovered / 100 Cases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</si>
</sst>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5" formatCode="0,&quot;k&quot;"/>
    <numFmt numFmtId="166" formatCode="0,,&quot;M&quot;"/>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s>
  <borders count="2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theme="4" tint="0.39997558519241921"/>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8">
    <xf numFmtId="0" fontId="0" fillId="0" borderId="0" xfId="0"/>
    <xf numFmtId="49" fontId="0" fillId="0" borderId="0" xfId="0" applyNumberFormat="1"/>
    <xf numFmtId="2" fontId="0" fillId="0" borderId="0" xfId="0" applyNumberFormat="1"/>
    <xf numFmtId="1"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16" fillId="33" borderId="10" xfId="0" applyFont="1" applyFill="1"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0" xfId="0" applyBorder="1"/>
    <xf numFmtId="0" fontId="0" fillId="0" borderId="15" xfId="0" applyBorder="1"/>
    <xf numFmtId="165" fontId="0" fillId="0" borderId="14" xfId="0" applyNumberFormat="1" applyBorder="1"/>
    <xf numFmtId="166" fontId="0" fillId="0" borderId="0" xfId="0" applyNumberFormat="1" applyBorder="1"/>
    <xf numFmtId="166" fontId="0" fillId="0" borderId="15" xfId="0" applyNumberFormat="1" applyBorder="1"/>
    <xf numFmtId="0" fontId="0" fillId="0" borderId="16" xfId="0" applyBorder="1"/>
    <xf numFmtId="0" fontId="0" fillId="0" borderId="17" xfId="0" applyBorder="1"/>
    <xf numFmtId="0" fontId="0" fillId="0" borderId="18" xfId="0" applyBorder="1"/>
    <xf numFmtId="0" fontId="16" fillId="33" borderId="19" xfId="0" applyFont="1" applyFill="1" applyBorder="1" applyAlignment="1">
      <alignment horizontal="left"/>
    </xf>
    <xf numFmtId="0" fontId="16" fillId="33" borderId="19" xfId="0" applyNumberFormat="1" applyFont="1" applyFill="1" applyBorder="1"/>
    <xf numFmtId="0" fontId="0" fillId="0" borderId="20" xfId="0" applyNumberFormat="1" applyBorder="1"/>
    <xf numFmtId="0" fontId="0" fillId="0" borderId="21" xfId="0" applyNumberFormat="1" applyBorder="1"/>
    <xf numFmtId="0" fontId="0" fillId="0" borderId="22" xfId="0" applyNumberFormat="1" applyBorder="1"/>
    <xf numFmtId="0" fontId="0" fillId="0" borderId="20" xfId="0" applyBorder="1"/>
    <xf numFmtId="0" fontId="0" fillId="0" borderId="21" xfId="0" applyBorder="1"/>
    <xf numFmtId="0" fontId="0" fillId="0" borderId="22" xfId="0"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7">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color theme="1"/>
      </font>
      <border>
        <bottom style="thin">
          <color theme="0" tint="-0.34998626667073579"/>
        </bottom>
        <vertical/>
        <horizontal/>
      </border>
    </dxf>
    <dxf>
      <font>
        <color theme="1"/>
      </font>
      <fill>
        <patternFill>
          <bgColor theme="2"/>
        </patternFill>
      </fill>
      <border diagonalUp="0" diagonalDown="0">
        <left/>
        <right/>
        <top/>
        <bottom/>
        <vertical/>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30" formatCode="@"/>
    </dxf>
    <dxf>
      <numFmt numFmtId="2" formatCode="0.00"/>
    </dxf>
    <dxf>
      <numFmt numFmtId="1" formatCode="0"/>
    </dxf>
    <dxf>
      <numFmt numFmtId="1" formatCode="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30" formatCode="@"/>
    </dxf>
  </dxfs>
  <tableStyles count="1" defaultTableStyle="TableStyleMedium2" defaultPivotStyle="PivotStyleLight16">
    <tableStyle name="SlicerStyleOther1 2" pivot="0" table="0" count="10" xr9:uid="{19151FB8-38E8-4EED-85AD-4CAA7B29847F}">
      <tableStyleElement type="wholeTable" dxfId="58"/>
      <tableStyleElement type="headerRow" dxfId="57"/>
    </tableStyle>
  </tableStyles>
  <colors>
    <mruColors>
      <color rgb="FFFF0000"/>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1"/>
          </font>
          <fill>
            <patternFill patternType="solid">
              <fgColor theme="0" tint="-0.14999847407452621"/>
              <bgColor theme="0" tint="-0.14999847407452621"/>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0" tint="-0.249977111117893"/>
              <bgColor theme="0" tint="-0.249977111117893"/>
            </patternFill>
          </fill>
          <border>
            <left style="thin">
              <color rgb="FF999999"/>
            </left>
            <right style="thin">
              <color rgb="FF999999"/>
            </right>
            <top style="thin">
              <color rgb="FF999999"/>
            </top>
            <bottom style="thin">
              <color rgb="FF999999"/>
            </bottom>
            <vertical/>
            <horizontal/>
          </border>
        </dxf>
        <dxf>
          <font>
            <color rgb="FF959595"/>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theme="0"/>
              <bgColor theme="0"/>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Other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[COVID_19_pr.xlsx]pivot table!PivotTable2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table'!$B$10</c:f>
              <c:strCache>
                <c:ptCount val="1"/>
                <c:pt idx="0">
                  <c:v>Total</c:v>
                </c:pt>
              </c:strCache>
            </c:strRef>
          </c:tx>
          <c:spPr>
            <a:solidFill>
              <a:schemeClr val="accent1"/>
            </a:solidFill>
            <a:ln>
              <a:noFill/>
            </a:ln>
            <a:effectLst/>
            <a:sp3d/>
          </c:spPr>
          <c:invertIfNegative val="0"/>
          <c:cat>
            <c:strRef>
              <c:f>'pivot table'!$A$11:$A$17</c:f>
              <c:strCache>
                <c:ptCount val="6"/>
                <c:pt idx="0">
                  <c:v>Africa</c:v>
                </c:pt>
                <c:pt idx="1">
                  <c:v>Americas</c:v>
                </c:pt>
                <c:pt idx="2">
                  <c:v>Eastern Mediterranean</c:v>
                </c:pt>
                <c:pt idx="3">
                  <c:v>Europe</c:v>
                </c:pt>
                <c:pt idx="4">
                  <c:v>South-East Asia</c:v>
                </c:pt>
                <c:pt idx="5">
                  <c:v>Western Pacific</c:v>
                </c:pt>
              </c:strCache>
            </c:strRef>
          </c:cat>
          <c:val>
            <c:numRef>
              <c:f>'pivot table'!$B$11:$B$17</c:f>
              <c:numCache>
                <c:formatCode>General</c:formatCode>
                <c:ptCount val="6"/>
                <c:pt idx="0">
                  <c:v>723207</c:v>
                </c:pt>
                <c:pt idx="1">
                  <c:v>8839286</c:v>
                </c:pt>
                <c:pt idx="2">
                  <c:v>1490744</c:v>
                </c:pt>
                <c:pt idx="3">
                  <c:v>3299523</c:v>
                </c:pt>
                <c:pt idx="4">
                  <c:v>1835297</c:v>
                </c:pt>
                <c:pt idx="5">
                  <c:v>292428</c:v>
                </c:pt>
              </c:numCache>
            </c:numRef>
          </c:val>
          <c:extLst>
            <c:ext xmlns:c16="http://schemas.microsoft.com/office/drawing/2014/chart" uri="{C3380CC4-5D6E-409C-BE32-E72D297353CC}">
              <c16:uniqueId val="{00000000-91F1-4645-9414-7A802B59220A}"/>
            </c:ext>
          </c:extLst>
        </c:ser>
        <c:dLbls>
          <c:showLegendKey val="0"/>
          <c:showVal val="0"/>
          <c:showCatName val="0"/>
          <c:showSerName val="0"/>
          <c:showPercent val="0"/>
          <c:showBubbleSize val="0"/>
        </c:dLbls>
        <c:gapWidth val="150"/>
        <c:shape val="box"/>
        <c:axId val="509390943"/>
        <c:axId val="509394303"/>
        <c:axId val="0"/>
      </c:bar3DChart>
      <c:catAx>
        <c:axId val="50939094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9394303"/>
        <c:crosses val="autoZero"/>
        <c:auto val="1"/>
        <c:lblAlgn val="ctr"/>
        <c:lblOffset val="100"/>
        <c:noMultiLvlLbl val="0"/>
      </c:catAx>
      <c:valAx>
        <c:axId val="50939430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93909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[COVID_19_pr.xlsx]pivot table!PivotTable3</c:name>
    <c:fmtId val="12"/>
  </c:pivotSource>
  <c:chart>
    <c:title>
      <c:layout>
        <c:manualLayout>
          <c:xMode val="edge"/>
          <c:yMode val="edge"/>
          <c:x val="0.40197935277413549"/>
          <c:y val="0.1275882181393991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table'!$B$21</c:f>
              <c:strCache>
                <c:ptCount val="1"/>
                <c:pt idx="0">
                  <c:v>Total</c:v>
                </c:pt>
              </c:strCache>
            </c:strRef>
          </c:tx>
          <c:spPr>
            <a:solidFill>
              <a:schemeClr val="accent1"/>
            </a:solidFill>
            <a:ln>
              <a:noFill/>
            </a:ln>
            <a:effectLst/>
          </c:spPr>
          <c:invertIfNegative val="0"/>
          <c:cat>
            <c:strRef>
              <c:f>'pivot table'!$A$22:$A$28</c:f>
              <c:strCache>
                <c:ptCount val="6"/>
                <c:pt idx="0">
                  <c:v>Africa</c:v>
                </c:pt>
                <c:pt idx="1">
                  <c:v>Americas</c:v>
                </c:pt>
                <c:pt idx="2">
                  <c:v>Eastern Mediterranean</c:v>
                </c:pt>
                <c:pt idx="3">
                  <c:v>Europe</c:v>
                </c:pt>
                <c:pt idx="4">
                  <c:v>South-East Asia</c:v>
                </c:pt>
                <c:pt idx="5">
                  <c:v>Western Pacific</c:v>
                </c:pt>
              </c:strCache>
            </c:strRef>
          </c:cat>
          <c:val>
            <c:numRef>
              <c:f>'pivot table'!$B$22:$B$28</c:f>
              <c:numCache>
                <c:formatCode>General</c:formatCode>
                <c:ptCount val="6"/>
                <c:pt idx="0">
                  <c:v>12223</c:v>
                </c:pt>
                <c:pt idx="1">
                  <c:v>342732</c:v>
                </c:pt>
                <c:pt idx="2">
                  <c:v>38339</c:v>
                </c:pt>
                <c:pt idx="3">
                  <c:v>211144</c:v>
                </c:pt>
                <c:pt idx="4">
                  <c:v>41349</c:v>
                </c:pt>
                <c:pt idx="5">
                  <c:v>8249</c:v>
                </c:pt>
              </c:numCache>
            </c:numRef>
          </c:val>
          <c:extLst>
            <c:ext xmlns:c16="http://schemas.microsoft.com/office/drawing/2014/chart" uri="{C3380CC4-5D6E-409C-BE32-E72D297353CC}">
              <c16:uniqueId val="{00000000-BB1C-4FD6-B32F-54B301924D6B}"/>
            </c:ext>
          </c:extLst>
        </c:ser>
        <c:dLbls>
          <c:showLegendKey val="0"/>
          <c:showVal val="0"/>
          <c:showCatName val="0"/>
          <c:showSerName val="0"/>
          <c:showPercent val="0"/>
          <c:showBubbleSize val="0"/>
        </c:dLbls>
        <c:gapWidth val="182"/>
        <c:axId val="1574119119"/>
        <c:axId val="1574123919"/>
      </c:barChart>
      <c:catAx>
        <c:axId val="15741191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4123919"/>
        <c:crosses val="autoZero"/>
        <c:auto val="1"/>
        <c:lblAlgn val="ctr"/>
        <c:lblOffset val="100"/>
        <c:noMultiLvlLbl val="0"/>
      </c:catAx>
      <c:valAx>
        <c:axId val="15741239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41191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[COVID_19_pr.xlsx]pivot table!PivotTable4</c:name>
    <c:fmtId val="1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table'!$B$31</c:f>
              <c:strCache>
                <c:ptCount val="1"/>
                <c:pt idx="0">
                  <c:v>Total</c:v>
                </c:pt>
              </c:strCache>
            </c:strRef>
          </c:tx>
          <c:spPr>
            <a:solidFill>
              <a:schemeClr val="accent1"/>
            </a:solidFill>
            <a:ln>
              <a:noFill/>
            </a:ln>
            <a:effectLst/>
          </c:spPr>
          <c:invertIfNegative val="0"/>
          <c:cat>
            <c:strRef>
              <c:f>'pivot table'!$A$32:$A$38</c:f>
              <c:strCache>
                <c:ptCount val="6"/>
                <c:pt idx="0">
                  <c:v>Africa</c:v>
                </c:pt>
                <c:pt idx="1">
                  <c:v>Americas</c:v>
                </c:pt>
                <c:pt idx="2">
                  <c:v>Eastern Mediterranean</c:v>
                </c:pt>
                <c:pt idx="3">
                  <c:v>Europe</c:v>
                </c:pt>
                <c:pt idx="4">
                  <c:v>South-East Asia</c:v>
                </c:pt>
                <c:pt idx="5">
                  <c:v>Western Pacific</c:v>
                </c:pt>
              </c:strCache>
            </c:strRef>
          </c:cat>
          <c:val>
            <c:numRef>
              <c:f>'pivot table'!$B$32:$B$38</c:f>
              <c:numCache>
                <c:formatCode>General</c:formatCode>
                <c:ptCount val="6"/>
                <c:pt idx="0">
                  <c:v>440645</c:v>
                </c:pt>
                <c:pt idx="1">
                  <c:v>4468616</c:v>
                </c:pt>
                <c:pt idx="2">
                  <c:v>1201400</c:v>
                </c:pt>
                <c:pt idx="3">
                  <c:v>1993723</c:v>
                </c:pt>
                <c:pt idx="4">
                  <c:v>1156933</c:v>
                </c:pt>
                <c:pt idx="5">
                  <c:v>206770</c:v>
                </c:pt>
              </c:numCache>
            </c:numRef>
          </c:val>
          <c:extLst>
            <c:ext xmlns:c16="http://schemas.microsoft.com/office/drawing/2014/chart" uri="{C3380CC4-5D6E-409C-BE32-E72D297353CC}">
              <c16:uniqueId val="{00000000-E3A3-4545-892B-0430601C76DF}"/>
            </c:ext>
          </c:extLst>
        </c:ser>
        <c:dLbls>
          <c:showLegendKey val="0"/>
          <c:showVal val="0"/>
          <c:showCatName val="0"/>
          <c:showSerName val="0"/>
          <c:showPercent val="0"/>
          <c:showBubbleSize val="0"/>
        </c:dLbls>
        <c:gapWidth val="182"/>
        <c:axId val="1574124879"/>
        <c:axId val="1574125359"/>
      </c:barChart>
      <c:catAx>
        <c:axId val="15741248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4125359"/>
        <c:crosses val="autoZero"/>
        <c:auto val="1"/>
        <c:lblAlgn val="ctr"/>
        <c:lblOffset val="100"/>
        <c:noMultiLvlLbl val="0"/>
      </c:catAx>
      <c:valAx>
        <c:axId val="157412535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4124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[COVID_19_pr.xlsx]pivot table!PivotTable5</c:name>
    <c:fmtId val="21"/>
  </c:pivotSource>
  <c:chart>
    <c:title>
      <c:layout>
        <c:manualLayout>
          <c:xMode val="edge"/>
          <c:yMode val="edge"/>
          <c:x val="1.7432818991205204E-2"/>
          <c:y val="0.1480443864991722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table'!$B$41</c:f>
              <c:strCache>
                <c:ptCount val="1"/>
                <c:pt idx="0">
                  <c:v>Total</c:v>
                </c:pt>
              </c:strCache>
            </c:strRef>
          </c:tx>
          <c:spPr>
            <a:solidFill>
              <a:schemeClr val="accent1"/>
            </a:solidFill>
            <a:ln>
              <a:noFill/>
            </a:ln>
            <a:effectLst/>
          </c:spPr>
          <c:invertIfNegative val="0"/>
          <c:cat>
            <c:strRef>
              <c:f>'pivot table'!$A$42:$A$48</c:f>
              <c:strCache>
                <c:ptCount val="6"/>
                <c:pt idx="0">
                  <c:v>Africa</c:v>
                </c:pt>
                <c:pt idx="1">
                  <c:v>Americas</c:v>
                </c:pt>
                <c:pt idx="2">
                  <c:v>Eastern Mediterranean</c:v>
                </c:pt>
                <c:pt idx="3">
                  <c:v>Europe</c:v>
                </c:pt>
                <c:pt idx="4">
                  <c:v>South-East Asia</c:v>
                </c:pt>
                <c:pt idx="5">
                  <c:v>Western Pacific</c:v>
                </c:pt>
              </c:strCache>
            </c:strRef>
          </c:cat>
          <c:val>
            <c:numRef>
              <c:f>'pivot table'!$B$42:$B$48</c:f>
              <c:numCache>
                <c:formatCode>General</c:formatCode>
                <c:ptCount val="6"/>
                <c:pt idx="0">
                  <c:v>12176</c:v>
                </c:pt>
                <c:pt idx="1">
                  <c:v>129531</c:v>
                </c:pt>
                <c:pt idx="2">
                  <c:v>12410</c:v>
                </c:pt>
                <c:pt idx="3">
                  <c:v>22294</c:v>
                </c:pt>
                <c:pt idx="4">
                  <c:v>48993</c:v>
                </c:pt>
                <c:pt idx="5">
                  <c:v>3289</c:v>
                </c:pt>
              </c:numCache>
            </c:numRef>
          </c:val>
          <c:extLst>
            <c:ext xmlns:c16="http://schemas.microsoft.com/office/drawing/2014/chart" uri="{C3380CC4-5D6E-409C-BE32-E72D297353CC}">
              <c16:uniqueId val="{00000000-4D4B-4B99-B4C4-6A2AA6435EA9}"/>
            </c:ext>
          </c:extLst>
        </c:ser>
        <c:dLbls>
          <c:showLegendKey val="0"/>
          <c:showVal val="0"/>
          <c:showCatName val="0"/>
          <c:showSerName val="0"/>
          <c:showPercent val="0"/>
          <c:showBubbleSize val="0"/>
        </c:dLbls>
        <c:gapWidth val="182"/>
        <c:axId val="1710934415"/>
        <c:axId val="1710939215"/>
      </c:barChart>
      <c:catAx>
        <c:axId val="17109344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0939215"/>
        <c:crosses val="autoZero"/>
        <c:auto val="1"/>
        <c:lblAlgn val="ctr"/>
        <c:lblOffset val="100"/>
        <c:noMultiLvlLbl val="0"/>
      </c:catAx>
      <c:valAx>
        <c:axId val="171093921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09344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[COVID_19_pr.xlsx]pivot table!PivotTable6</c:name>
    <c:fmtId val="2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table'!$B$51</c:f>
              <c:strCache>
                <c:ptCount val="1"/>
                <c:pt idx="0">
                  <c:v>Total</c:v>
                </c:pt>
              </c:strCache>
            </c:strRef>
          </c:tx>
          <c:spPr>
            <a:solidFill>
              <a:schemeClr val="accent1"/>
            </a:solidFill>
            <a:ln>
              <a:noFill/>
            </a:ln>
            <a:effectLst/>
          </c:spPr>
          <c:invertIfNegative val="0"/>
          <c:cat>
            <c:strRef>
              <c:f>'pivot table'!$A$52:$A$58</c:f>
              <c:strCache>
                <c:ptCount val="6"/>
                <c:pt idx="0">
                  <c:v>Africa</c:v>
                </c:pt>
                <c:pt idx="1">
                  <c:v>Americas</c:v>
                </c:pt>
                <c:pt idx="2">
                  <c:v>Eastern Mediterranean</c:v>
                </c:pt>
                <c:pt idx="3">
                  <c:v>Europe</c:v>
                </c:pt>
                <c:pt idx="4">
                  <c:v>South-East Asia</c:v>
                </c:pt>
                <c:pt idx="5">
                  <c:v>Western Pacific</c:v>
                </c:pt>
              </c:strCache>
            </c:strRef>
          </c:cat>
          <c:val>
            <c:numRef>
              <c:f>'pivot table'!$B$52:$B$58</c:f>
              <c:numCache>
                <c:formatCode>General</c:formatCode>
                <c:ptCount val="6"/>
                <c:pt idx="0">
                  <c:v>353</c:v>
                </c:pt>
                <c:pt idx="1">
                  <c:v>3555</c:v>
                </c:pt>
                <c:pt idx="2">
                  <c:v>445</c:v>
                </c:pt>
                <c:pt idx="3">
                  <c:v>304</c:v>
                </c:pt>
                <c:pt idx="4">
                  <c:v>734</c:v>
                </c:pt>
                <c:pt idx="5">
                  <c:v>24</c:v>
                </c:pt>
              </c:numCache>
            </c:numRef>
          </c:val>
          <c:extLst>
            <c:ext xmlns:c16="http://schemas.microsoft.com/office/drawing/2014/chart" uri="{C3380CC4-5D6E-409C-BE32-E72D297353CC}">
              <c16:uniqueId val="{00000000-1C57-4CDD-A4A7-2B08356E24C7}"/>
            </c:ext>
          </c:extLst>
        </c:ser>
        <c:dLbls>
          <c:showLegendKey val="0"/>
          <c:showVal val="0"/>
          <c:showCatName val="0"/>
          <c:showSerName val="0"/>
          <c:showPercent val="0"/>
          <c:showBubbleSize val="0"/>
        </c:dLbls>
        <c:gapWidth val="182"/>
        <c:axId val="509396703"/>
        <c:axId val="509395263"/>
      </c:barChart>
      <c:catAx>
        <c:axId val="5093967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9395263"/>
        <c:crosses val="autoZero"/>
        <c:auto val="1"/>
        <c:lblAlgn val="ctr"/>
        <c:lblOffset val="100"/>
        <c:noMultiLvlLbl val="0"/>
      </c:catAx>
      <c:valAx>
        <c:axId val="50939526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93967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[COVID_19_pr.xlsx]pivot table!PivotTable7</c:name>
    <c:fmtId val="2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table'!$B$62</c:f>
              <c:strCache>
                <c:ptCount val="1"/>
                <c:pt idx="0">
                  <c:v>Total</c:v>
                </c:pt>
              </c:strCache>
            </c:strRef>
          </c:tx>
          <c:spPr>
            <a:solidFill>
              <a:schemeClr val="accent1"/>
            </a:solidFill>
            <a:ln>
              <a:noFill/>
            </a:ln>
            <a:effectLst/>
          </c:spPr>
          <c:invertIfNegative val="0"/>
          <c:cat>
            <c:strRef>
              <c:f>'pivot table'!$A$63:$A$69</c:f>
              <c:strCache>
                <c:ptCount val="6"/>
                <c:pt idx="0">
                  <c:v>Africa</c:v>
                </c:pt>
                <c:pt idx="1">
                  <c:v>Americas</c:v>
                </c:pt>
                <c:pt idx="2">
                  <c:v>Eastern Mediterranean</c:v>
                </c:pt>
                <c:pt idx="3">
                  <c:v>Europe</c:v>
                </c:pt>
                <c:pt idx="4">
                  <c:v>South-East Asia</c:v>
                </c:pt>
                <c:pt idx="5">
                  <c:v>Western Pacific</c:v>
                </c:pt>
              </c:strCache>
            </c:strRef>
          </c:cat>
          <c:val>
            <c:numRef>
              <c:f>'pivot table'!$B$63:$B$69</c:f>
              <c:numCache>
                <c:formatCode>General</c:formatCode>
                <c:ptCount val="6"/>
                <c:pt idx="0">
                  <c:v>14563</c:v>
                </c:pt>
                <c:pt idx="1">
                  <c:v>94776</c:v>
                </c:pt>
                <c:pt idx="2">
                  <c:v>14843</c:v>
                </c:pt>
                <c:pt idx="3">
                  <c:v>11732</c:v>
                </c:pt>
                <c:pt idx="4">
                  <c:v>37582</c:v>
                </c:pt>
                <c:pt idx="5">
                  <c:v>1127</c:v>
                </c:pt>
              </c:numCache>
            </c:numRef>
          </c:val>
          <c:extLst>
            <c:ext xmlns:c16="http://schemas.microsoft.com/office/drawing/2014/chart" uri="{C3380CC4-5D6E-409C-BE32-E72D297353CC}">
              <c16:uniqueId val="{00000000-2880-4FC9-9922-2B94D4712218}"/>
            </c:ext>
          </c:extLst>
        </c:ser>
        <c:dLbls>
          <c:showLegendKey val="0"/>
          <c:showVal val="0"/>
          <c:showCatName val="0"/>
          <c:showSerName val="0"/>
          <c:showPercent val="0"/>
          <c:showBubbleSize val="0"/>
        </c:dLbls>
        <c:gapWidth val="182"/>
        <c:axId val="1570664239"/>
        <c:axId val="1570661839"/>
      </c:barChart>
      <c:catAx>
        <c:axId val="15706642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0661839"/>
        <c:crosses val="autoZero"/>
        <c:auto val="1"/>
        <c:lblAlgn val="ctr"/>
        <c:lblOffset val="100"/>
        <c:noMultiLvlLbl val="0"/>
      </c:catAx>
      <c:valAx>
        <c:axId val="15706618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06642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[COVID_19_pr.xlsx]pivot table!PivotTable8</c:name>
    <c:fmtId val="39"/>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table'!$B$72</c:f>
              <c:strCache>
                <c:ptCount val="1"/>
                <c:pt idx="0">
                  <c:v>Sum of 1 week change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table'!$A$73:$A$79</c:f>
              <c:strCache>
                <c:ptCount val="6"/>
                <c:pt idx="0">
                  <c:v>Africa</c:v>
                </c:pt>
                <c:pt idx="1">
                  <c:v>Americas</c:v>
                </c:pt>
                <c:pt idx="2">
                  <c:v>Eastern Mediterranean</c:v>
                </c:pt>
                <c:pt idx="3">
                  <c:v>Europe</c:v>
                </c:pt>
                <c:pt idx="4">
                  <c:v>South-East Asia</c:v>
                </c:pt>
                <c:pt idx="5">
                  <c:v>Western Pacific</c:v>
                </c:pt>
              </c:strCache>
            </c:strRef>
          </c:cat>
          <c:val>
            <c:numRef>
              <c:f>'pivot table'!$B$73:$B$79</c:f>
              <c:numCache>
                <c:formatCode>General</c:formatCode>
                <c:ptCount val="6"/>
                <c:pt idx="0">
                  <c:v>115087</c:v>
                </c:pt>
                <c:pt idx="1">
                  <c:v>1024088</c:v>
                </c:pt>
                <c:pt idx="2">
                  <c:v>91897</c:v>
                </c:pt>
                <c:pt idx="3">
                  <c:v>152707</c:v>
                </c:pt>
                <c:pt idx="4">
                  <c:v>357014</c:v>
                </c:pt>
                <c:pt idx="5">
                  <c:v>26069</c:v>
                </c:pt>
              </c:numCache>
            </c:numRef>
          </c:val>
          <c:smooth val="0"/>
          <c:extLst>
            <c:ext xmlns:c16="http://schemas.microsoft.com/office/drawing/2014/chart" uri="{C3380CC4-5D6E-409C-BE32-E72D297353CC}">
              <c16:uniqueId val="{00000000-E4B9-4FDA-B3C2-F0BFF956A97B}"/>
            </c:ext>
          </c:extLst>
        </c:ser>
        <c:ser>
          <c:idx val="1"/>
          <c:order val="1"/>
          <c:tx>
            <c:strRef>
              <c:f>'pivot table'!$C$72</c:f>
              <c:strCache>
                <c:ptCount val="1"/>
                <c:pt idx="0">
                  <c:v>Sum of Confirmed last week</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table'!$A$73:$A$79</c:f>
              <c:strCache>
                <c:ptCount val="6"/>
                <c:pt idx="0">
                  <c:v>Africa</c:v>
                </c:pt>
                <c:pt idx="1">
                  <c:v>Americas</c:v>
                </c:pt>
                <c:pt idx="2">
                  <c:v>Eastern Mediterranean</c:v>
                </c:pt>
                <c:pt idx="3">
                  <c:v>Europe</c:v>
                </c:pt>
                <c:pt idx="4">
                  <c:v>South-East Asia</c:v>
                </c:pt>
                <c:pt idx="5">
                  <c:v>Western Pacific</c:v>
                </c:pt>
              </c:strCache>
            </c:strRef>
          </c:cat>
          <c:val>
            <c:numRef>
              <c:f>'pivot table'!$C$73:$C$79</c:f>
              <c:numCache>
                <c:formatCode>General</c:formatCode>
                <c:ptCount val="6"/>
                <c:pt idx="0">
                  <c:v>608120</c:v>
                </c:pt>
                <c:pt idx="1">
                  <c:v>7815198</c:v>
                </c:pt>
                <c:pt idx="2">
                  <c:v>1398847</c:v>
                </c:pt>
                <c:pt idx="3">
                  <c:v>3146816</c:v>
                </c:pt>
                <c:pt idx="4">
                  <c:v>1478283</c:v>
                </c:pt>
                <c:pt idx="5">
                  <c:v>266359</c:v>
                </c:pt>
              </c:numCache>
            </c:numRef>
          </c:val>
          <c:smooth val="0"/>
          <c:extLst>
            <c:ext xmlns:c16="http://schemas.microsoft.com/office/drawing/2014/chart" uri="{C3380CC4-5D6E-409C-BE32-E72D297353CC}">
              <c16:uniqueId val="{00000001-E4B9-4FDA-B3C2-F0BFF956A97B}"/>
            </c:ext>
          </c:extLst>
        </c:ser>
        <c:dLbls>
          <c:showLegendKey val="0"/>
          <c:showVal val="0"/>
          <c:showCatName val="0"/>
          <c:showSerName val="0"/>
          <c:showPercent val="0"/>
          <c:showBubbleSize val="0"/>
        </c:dLbls>
        <c:marker val="1"/>
        <c:smooth val="0"/>
        <c:axId val="749934751"/>
        <c:axId val="749944831"/>
      </c:lineChart>
      <c:catAx>
        <c:axId val="749934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9944831"/>
        <c:crosses val="autoZero"/>
        <c:auto val="1"/>
        <c:lblAlgn val="ctr"/>
        <c:lblOffset val="100"/>
        <c:noMultiLvlLbl val="0"/>
      </c:catAx>
      <c:valAx>
        <c:axId val="7499448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99347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[COVID_19_pr.xlsx]pivot table!PivotTable9</c:name>
    <c:fmtId val="3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table'!$B$93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cat>
            <c:strRef>
              <c:f>'pivot table'!$A$94:$A$100</c:f>
              <c:strCache>
                <c:ptCount val="6"/>
                <c:pt idx="0">
                  <c:v>Africa</c:v>
                </c:pt>
                <c:pt idx="1">
                  <c:v>Americas</c:v>
                </c:pt>
                <c:pt idx="2">
                  <c:v>Eastern Mediterranean</c:v>
                </c:pt>
                <c:pt idx="3">
                  <c:v>Europe</c:v>
                </c:pt>
                <c:pt idx="4">
                  <c:v>South-East Asia</c:v>
                </c:pt>
                <c:pt idx="5">
                  <c:v>Western Pacific</c:v>
                </c:pt>
              </c:strCache>
            </c:strRef>
          </c:cat>
          <c:val>
            <c:numRef>
              <c:f>'pivot table'!$B$94:$B$100</c:f>
              <c:numCache>
                <c:formatCode>General</c:formatCode>
                <c:ptCount val="6"/>
                <c:pt idx="0">
                  <c:v>110.71000000000002</c:v>
                </c:pt>
                <c:pt idx="1">
                  <c:v>106.84</c:v>
                </c:pt>
                <c:pt idx="2">
                  <c:v>78.389999999999986</c:v>
                </c:pt>
                <c:pt idx="3">
                  <c:v>235.11</c:v>
                </c:pt>
                <c:pt idx="4">
                  <c:v>12.959999999999999</c:v>
                </c:pt>
                <c:pt idx="5">
                  <c:v>20.64</c:v>
                </c:pt>
              </c:numCache>
            </c:numRef>
          </c:val>
          <c:extLst>
            <c:ext xmlns:c16="http://schemas.microsoft.com/office/drawing/2014/chart" uri="{C3380CC4-5D6E-409C-BE32-E72D297353CC}">
              <c16:uniqueId val="{00000000-6EAE-45F0-8C20-B87238903CB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[COVID_19_pr.xlsx]pivot table!PivotTable10</c:name>
    <c:fmtId val="3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table'!$B$105</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cat>
            <c:strRef>
              <c:f>'pivot table'!$A$106:$A$112</c:f>
              <c:strCache>
                <c:ptCount val="6"/>
                <c:pt idx="0">
                  <c:v>Africa</c:v>
                </c:pt>
                <c:pt idx="1">
                  <c:v>Americas</c:v>
                </c:pt>
                <c:pt idx="2">
                  <c:v>Eastern Mediterranean</c:v>
                </c:pt>
                <c:pt idx="3">
                  <c:v>Europe</c:v>
                </c:pt>
                <c:pt idx="4">
                  <c:v>South-East Asia</c:v>
                </c:pt>
                <c:pt idx="5">
                  <c:v>Western Pacific</c:v>
                </c:pt>
              </c:strCache>
            </c:strRef>
          </c:cat>
          <c:val>
            <c:numRef>
              <c:f>'pivot table'!$B$106:$B$112</c:f>
              <c:numCache>
                <c:formatCode>General</c:formatCode>
                <c:ptCount val="6"/>
                <c:pt idx="0">
                  <c:v>2736.71</c:v>
                </c:pt>
                <c:pt idx="1">
                  <c:v>2180.1999999999998</c:v>
                </c:pt>
                <c:pt idx="2">
                  <c:v>1465.05</c:v>
                </c:pt>
                <c:pt idx="3">
                  <c:v>3843.559999999999</c:v>
                </c:pt>
                <c:pt idx="4">
                  <c:v>667.04000000000008</c:v>
                </c:pt>
                <c:pt idx="5">
                  <c:v>1228.8800000000001</c:v>
                </c:pt>
              </c:numCache>
            </c:numRef>
          </c:val>
          <c:extLst>
            <c:ext xmlns:c16="http://schemas.microsoft.com/office/drawing/2014/chart" uri="{C3380CC4-5D6E-409C-BE32-E72D297353CC}">
              <c16:uniqueId val="{00000000-35BB-43CE-85A6-B0D0A529CD4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[COVID_19_pr.xlsx]pivot table!PivotTable11</c:name>
    <c:fmtId val="4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table'!$B$116</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cat>
            <c:strRef>
              <c:f>'pivot table'!$A$117:$A$123</c:f>
              <c:strCache>
                <c:ptCount val="6"/>
                <c:pt idx="0">
                  <c:v>Africa</c:v>
                </c:pt>
                <c:pt idx="1">
                  <c:v>Americas</c:v>
                </c:pt>
                <c:pt idx="2">
                  <c:v>Eastern Mediterranean</c:v>
                </c:pt>
                <c:pt idx="3">
                  <c:v>Europe</c:v>
                </c:pt>
                <c:pt idx="4">
                  <c:v>South-East Asia</c:v>
                </c:pt>
                <c:pt idx="5">
                  <c:v>Western Pacific</c:v>
                </c:pt>
              </c:strCache>
            </c:strRef>
          </c:cat>
          <c:val>
            <c:numRef>
              <c:f>'pivot table'!$B$117:$B$123</c:f>
              <c:numCache>
                <c:formatCode>General</c:formatCode>
                <c:ptCount val="6"/>
                <c:pt idx="0">
                  <c:v>868.15</c:v>
                </c:pt>
                <c:pt idx="1">
                  <c:v>571.58999999999992</c:v>
                </c:pt>
                <c:pt idx="2">
                  <c:v>230.61000000000004</c:v>
                </c:pt>
                <c:pt idx="3">
                  <c:v>435.10000000000019</c:v>
                </c:pt>
                <c:pt idx="4">
                  <c:v>85.13000000000001</c:v>
                </c:pt>
                <c:pt idx="5">
                  <c:v>353.78</c:v>
                </c:pt>
              </c:numCache>
            </c:numRef>
          </c:val>
          <c:extLst>
            <c:ext xmlns:c16="http://schemas.microsoft.com/office/drawing/2014/chart" uri="{C3380CC4-5D6E-409C-BE32-E72D297353CC}">
              <c16:uniqueId val="{00000002-6DDE-4DCC-8F3C-EF9DCE3AA54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[COVID_19_pr.xlsx]pivot table!PivotTable2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CONFIRMED</a:t>
            </a:r>
          </a:p>
        </c:rich>
      </c:tx>
      <c:layout>
        <c:manualLayout>
          <c:xMode val="edge"/>
          <c:yMode val="edge"/>
          <c:x val="2.3720066163840873E-2"/>
          <c:y val="4.768648576258012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lumMod val="60000"/>
              <a:lumOff val="4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table'!$B$10</c:f>
              <c:strCache>
                <c:ptCount val="1"/>
                <c:pt idx="0">
                  <c:v>Total</c:v>
                </c:pt>
              </c:strCache>
            </c:strRef>
          </c:tx>
          <c:spPr>
            <a:solidFill>
              <a:schemeClr val="accent3">
                <a:lumMod val="60000"/>
                <a:lumOff val="40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table'!$A$11:$A$17</c:f>
              <c:strCache>
                <c:ptCount val="6"/>
                <c:pt idx="0">
                  <c:v>Africa</c:v>
                </c:pt>
                <c:pt idx="1">
                  <c:v>Americas</c:v>
                </c:pt>
                <c:pt idx="2">
                  <c:v>Eastern Mediterranean</c:v>
                </c:pt>
                <c:pt idx="3">
                  <c:v>Europe</c:v>
                </c:pt>
                <c:pt idx="4">
                  <c:v>South-East Asia</c:v>
                </c:pt>
                <c:pt idx="5">
                  <c:v>Western Pacific</c:v>
                </c:pt>
              </c:strCache>
            </c:strRef>
          </c:cat>
          <c:val>
            <c:numRef>
              <c:f>'pivot table'!$B$11:$B$17</c:f>
              <c:numCache>
                <c:formatCode>General</c:formatCode>
                <c:ptCount val="6"/>
                <c:pt idx="0">
                  <c:v>723207</c:v>
                </c:pt>
                <c:pt idx="1">
                  <c:v>8839286</c:v>
                </c:pt>
                <c:pt idx="2">
                  <c:v>1490744</c:v>
                </c:pt>
                <c:pt idx="3">
                  <c:v>3299523</c:v>
                </c:pt>
                <c:pt idx="4">
                  <c:v>1835297</c:v>
                </c:pt>
                <c:pt idx="5">
                  <c:v>292428</c:v>
                </c:pt>
              </c:numCache>
            </c:numRef>
          </c:val>
          <c:extLst>
            <c:ext xmlns:c16="http://schemas.microsoft.com/office/drawing/2014/chart" uri="{C3380CC4-5D6E-409C-BE32-E72D297353CC}">
              <c16:uniqueId val="{00000000-02F9-4856-A437-EE9EA304A061}"/>
            </c:ext>
          </c:extLst>
        </c:ser>
        <c:dLbls>
          <c:showLegendKey val="0"/>
          <c:showVal val="1"/>
          <c:showCatName val="0"/>
          <c:showSerName val="0"/>
          <c:showPercent val="0"/>
          <c:showBubbleSize val="0"/>
        </c:dLbls>
        <c:gapWidth val="150"/>
        <c:shape val="box"/>
        <c:axId val="509390943"/>
        <c:axId val="509394303"/>
        <c:axId val="0"/>
      </c:bar3DChart>
      <c:catAx>
        <c:axId val="50939094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09394303"/>
        <c:crosses val="autoZero"/>
        <c:auto val="1"/>
        <c:lblAlgn val="ctr"/>
        <c:lblOffset val="100"/>
        <c:noMultiLvlLbl val="0"/>
      </c:catAx>
      <c:valAx>
        <c:axId val="50939430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093909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[COVID_19_pr.xlsx]pivot table!PivotTable3</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DEATH'S</a:t>
            </a:r>
          </a:p>
        </c:rich>
      </c:tx>
      <c:layout>
        <c:manualLayout>
          <c:xMode val="edge"/>
          <c:yMode val="edge"/>
          <c:x val="6.4065402032596669E-2"/>
          <c:y val="4.087296463846417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table'!$B$21</c:f>
              <c:strCache>
                <c:ptCount val="1"/>
                <c:pt idx="0">
                  <c:v>Total</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cat>
            <c:strRef>
              <c:f>'pivot table'!$A$22:$A$28</c:f>
              <c:strCache>
                <c:ptCount val="6"/>
                <c:pt idx="0">
                  <c:v>Africa</c:v>
                </c:pt>
                <c:pt idx="1">
                  <c:v>Americas</c:v>
                </c:pt>
                <c:pt idx="2">
                  <c:v>Eastern Mediterranean</c:v>
                </c:pt>
                <c:pt idx="3">
                  <c:v>Europe</c:v>
                </c:pt>
                <c:pt idx="4">
                  <c:v>South-East Asia</c:v>
                </c:pt>
                <c:pt idx="5">
                  <c:v>Western Pacific</c:v>
                </c:pt>
              </c:strCache>
            </c:strRef>
          </c:cat>
          <c:val>
            <c:numRef>
              <c:f>'pivot table'!$B$22:$B$28</c:f>
              <c:numCache>
                <c:formatCode>General</c:formatCode>
                <c:ptCount val="6"/>
                <c:pt idx="0">
                  <c:v>12223</c:v>
                </c:pt>
                <c:pt idx="1">
                  <c:v>342732</c:v>
                </c:pt>
                <c:pt idx="2">
                  <c:v>38339</c:v>
                </c:pt>
                <c:pt idx="3">
                  <c:v>211144</c:v>
                </c:pt>
                <c:pt idx="4">
                  <c:v>41349</c:v>
                </c:pt>
                <c:pt idx="5">
                  <c:v>8249</c:v>
                </c:pt>
              </c:numCache>
            </c:numRef>
          </c:val>
          <c:extLst>
            <c:ext xmlns:c16="http://schemas.microsoft.com/office/drawing/2014/chart" uri="{C3380CC4-5D6E-409C-BE32-E72D297353CC}">
              <c16:uniqueId val="{00000000-0110-432C-AA1F-8D3447534C5D}"/>
            </c:ext>
          </c:extLst>
        </c:ser>
        <c:dLbls>
          <c:dLblPos val="outEnd"/>
          <c:showLegendKey val="0"/>
          <c:showVal val="1"/>
          <c:showCatName val="0"/>
          <c:showSerName val="0"/>
          <c:showPercent val="0"/>
          <c:showBubbleSize val="0"/>
        </c:dLbls>
        <c:gapWidth val="182"/>
        <c:axId val="1574119119"/>
        <c:axId val="1574123919"/>
      </c:barChart>
      <c:catAx>
        <c:axId val="15741191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574123919"/>
        <c:crosses val="autoZero"/>
        <c:auto val="1"/>
        <c:lblAlgn val="ctr"/>
        <c:lblOffset val="100"/>
        <c:noMultiLvlLbl val="0"/>
      </c:catAx>
      <c:valAx>
        <c:axId val="15741239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5741191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[COVID_19_pr.xlsx]pivot table!PivotTable4</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RECOVERED</a:t>
            </a:r>
          </a:p>
        </c:rich>
      </c:tx>
      <c:layout>
        <c:manualLayout>
          <c:xMode val="edge"/>
          <c:yMode val="edge"/>
          <c:x val="3.1013803747377663E-2"/>
          <c:y val="4.946564766566934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table'!$B$31</c:f>
              <c:strCache>
                <c:ptCount val="1"/>
                <c:pt idx="0">
                  <c:v>Total</c:v>
                </c:pt>
              </c:strCache>
            </c:strRef>
          </c:tx>
          <c:spPr>
            <a:solidFill>
              <a:schemeClr val="accent4">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cat>
            <c:strRef>
              <c:f>'pivot table'!$A$32:$A$38</c:f>
              <c:strCache>
                <c:ptCount val="6"/>
                <c:pt idx="0">
                  <c:v>Africa</c:v>
                </c:pt>
                <c:pt idx="1">
                  <c:v>Americas</c:v>
                </c:pt>
                <c:pt idx="2">
                  <c:v>Eastern Mediterranean</c:v>
                </c:pt>
                <c:pt idx="3">
                  <c:v>Europe</c:v>
                </c:pt>
                <c:pt idx="4">
                  <c:v>South-East Asia</c:v>
                </c:pt>
                <c:pt idx="5">
                  <c:v>Western Pacific</c:v>
                </c:pt>
              </c:strCache>
            </c:strRef>
          </c:cat>
          <c:val>
            <c:numRef>
              <c:f>'pivot table'!$B$32:$B$38</c:f>
              <c:numCache>
                <c:formatCode>General</c:formatCode>
                <c:ptCount val="6"/>
                <c:pt idx="0">
                  <c:v>440645</c:v>
                </c:pt>
                <c:pt idx="1">
                  <c:v>4468616</c:v>
                </c:pt>
                <c:pt idx="2">
                  <c:v>1201400</c:v>
                </c:pt>
                <c:pt idx="3">
                  <c:v>1993723</c:v>
                </c:pt>
                <c:pt idx="4">
                  <c:v>1156933</c:v>
                </c:pt>
                <c:pt idx="5">
                  <c:v>206770</c:v>
                </c:pt>
              </c:numCache>
            </c:numRef>
          </c:val>
          <c:extLst>
            <c:ext xmlns:c16="http://schemas.microsoft.com/office/drawing/2014/chart" uri="{C3380CC4-5D6E-409C-BE32-E72D297353CC}">
              <c16:uniqueId val="{00000000-4B37-4A0C-A23E-A87C2775D082}"/>
            </c:ext>
          </c:extLst>
        </c:ser>
        <c:dLbls>
          <c:dLblPos val="outEnd"/>
          <c:showLegendKey val="0"/>
          <c:showVal val="1"/>
          <c:showCatName val="0"/>
          <c:showSerName val="0"/>
          <c:showPercent val="0"/>
          <c:showBubbleSize val="0"/>
        </c:dLbls>
        <c:gapWidth val="182"/>
        <c:axId val="1574124879"/>
        <c:axId val="1574125359"/>
      </c:barChart>
      <c:catAx>
        <c:axId val="15741248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574125359"/>
        <c:crosses val="autoZero"/>
        <c:auto val="1"/>
        <c:lblAlgn val="ctr"/>
        <c:lblOffset val="100"/>
        <c:noMultiLvlLbl val="0"/>
      </c:catAx>
      <c:valAx>
        <c:axId val="157412535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5741248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[COVID_19_pr.xlsx]pivot table!PivotTable5</c:name>
    <c:fmtId val="2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CONFIRMED</a:t>
            </a:r>
          </a:p>
        </c:rich>
      </c:tx>
      <c:layout>
        <c:manualLayout>
          <c:xMode val="edge"/>
          <c:yMode val="edge"/>
          <c:x val="2.9297896829549017E-2"/>
          <c:y val="4.78758351651558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table'!$B$41</c:f>
              <c:strCache>
                <c:ptCount val="1"/>
                <c:pt idx="0">
                  <c:v>Total</c:v>
                </c:pt>
              </c:strCache>
            </c:strRef>
          </c:tx>
          <c:spPr>
            <a:solidFill>
              <a:schemeClr val="accent3">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cat>
            <c:strRef>
              <c:f>'pivot table'!$A$42:$A$48</c:f>
              <c:strCache>
                <c:ptCount val="6"/>
                <c:pt idx="0">
                  <c:v>Africa</c:v>
                </c:pt>
                <c:pt idx="1">
                  <c:v>Americas</c:v>
                </c:pt>
                <c:pt idx="2">
                  <c:v>Eastern Mediterranean</c:v>
                </c:pt>
                <c:pt idx="3">
                  <c:v>Europe</c:v>
                </c:pt>
                <c:pt idx="4">
                  <c:v>South-East Asia</c:v>
                </c:pt>
                <c:pt idx="5">
                  <c:v>Western Pacific</c:v>
                </c:pt>
              </c:strCache>
            </c:strRef>
          </c:cat>
          <c:val>
            <c:numRef>
              <c:f>'pivot table'!$B$42:$B$48</c:f>
              <c:numCache>
                <c:formatCode>General</c:formatCode>
                <c:ptCount val="6"/>
                <c:pt idx="0">
                  <c:v>12176</c:v>
                </c:pt>
                <c:pt idx="1">
                  <c:v>129531</c:v>
                </c:pt>
                <c:pt idx="2">
                  <c:v>12410</c:v>
                </c:pt>
                <c:pt idx="3">
                  <c:v>22294</c:v>
                </c:pt>
                <c:pt idx="4">
                  <c:v>48993</c:v>
                </c:pt>
                <c:pt idx="5">
                  <c:v>3289</c:v>
                </c:pt>
              </c:numCache>
            </c:numRef>
          </c:val>
          <c:extLst>
            <c:ext xmlns:c16="http://schemas.microsoft.com/office/drawing/2014/chart" uri="{C3380CC4-5D6E-409C-BE32-E72D297353CC}">
              <c16:uniqueId val="{00000000-BD94-40F6-A3B6-1E1E6825947E}"/>
            </c:ext>
          </c:extLst>
        </c:ser>
        <c:dLbls>
          <c:dLblPos val="outEnd"/>
          <c:showLegendKey val="0"/>
          <c:showVal val="1"/>
          <c:showCatName val="0"/>
          <c:showSerName val="0"/>
          <c:showPercent val="0"/>
          <c:showBubbleSize val="0"/>
        </c:dLbls>
        <c:gapWidth val="182"/>
        <c:axId val="1710934415"/>
        <c:axId val="1710939215"/>
      </c:barChart>
      <c:catAx>
        <c:axId val="17109344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710939215"/>
        <c:crosses val="autoZero"/>
        <c:auto val="1"/>
        <c:lblAlgn val="ctr"/>
        <c:lblOffset val="100"/>
        <c:noMultiLvlLbl val="0"/>
      </c:catAx>
      <c:valAx>
        <c:axId val="171093921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7109344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[COVID_19_pr.xlsx]pivot table!PivotTable6</c:name>
    <c:fmtId val="2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DEATH'S</a:t>
            </a:r>
          </a:p>
        </c:rich>
      </c:tx>
      <c:layout>
        <c:manualLayout>
          <c:xMode val="edge"/>
          <c:yMode val="edge"/>
          <c:x val="3.715291911255577E-2"/>
          <c:y val="4.378379310146692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table'!$B$51</c:f>
              <c:strCache>
                <c:ptCount val="1"/>
                <c:pt idx="0">
                  <c:v>Total</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cat>
            <c:strRef>
              <c:f>'pivot table'!$A$52:$A$58</c:f>
              <c:strCache>
                <c:ptCount val="6"/>
                <c:pt idx="0">
                  <c:v>Africa</c:v>
                </c:pt>
                <c:pt idx="1">
                  <c:v>Americas</c:v>
                </c:pt>
                <c:pt idx="2">
                  <c:v>Eastern Mediterranean</c:v>
                </c:pt>
                <c:pt idx="3">
                  <c:v>Europe</c:v>
                </c:pt>
                <c:pt idx="4">
                  <c:v>South-East Asia</c:v>
                </c:pt>
                <c:pt idx="5">
                  <c:v>Western Pacific</c:v>
                </c:pt>
              </c:strCache>
            </c:strRef>
          </c:cat>
          <c:val>
            <c:numRef>
              <c:f>'pivot table'!$B$52:$B$58</c:f>
              <c:numCache>
                <c:formatCode>General</c:formatCode>
                <c:ptCount val="6"/>
                <c:pt idx="0">
                  <c:v>353</c:v>
                </c:pt>
                <c:pt idx="1">
                  <c:v>3555</c:v>
                </c:pt>
                <c:pt idx="2">
                  <c:v>445</c:v>
                </c:pt>
                <c:pt idx="3">
                  <c:v>304</c:v>
                </c:pt>
                <c:pt idx="4">
                  <c:v>734</c:v>
                </c:pt>
                <c:pt idx="5">
                  <c:v>24</c:v>
                </c:pt>
              </c:numCache>
            </c:numRef>
          </c:val>
          <c:extLst>
            <c:ext xmlns:c16="http://schemas.microsoft.com/office/drawing/2014/chart" uri="{C3380CC4-5D6E-409C-BE32-E72D297353CC}">
              <c16:uniqueId val="{00000000-3448-4066-9D58-9C055E111EAD}"/>
            </c:ext>
          </c:extLst>
        </c:ser>
        <c:dLbls>
          <c:dLblPos val="outEnd"/>
          <c:showLegendKey val="0"/>
          <c:showVal val="1"/>
          <c:showCatName val="0"/>
          <c:showSerName val="0"/>
          <c:showPercent val="0"/>
          <c:showBubbleSize val="0"/>
        </c:dLbls>
        <c:gapWidth val="182"/>
        <c:axId val="509396703"/>
        <c:axId val="509395263"/>
      </c:barChart>
      <c:catAx>
        <c:axId val="5093967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09395263"/>
        <c:crosses val="autoZero"/>
        <c:auto val="1"/>
        <c:lblAlgn val="ctr"/>
        <c:lblOffset val="100"/>
        <c:noMultiLvlLbl val="0"/>
      </c:catAx>
      <c:valAx>
        <c:axId val="50939526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093967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[COVID_19_pr.xlsx]pivot table!PivotTable7</c:name>
    <c:fmtId val="3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RECOVERED</a:t>
            </a:r>
          </a:p>
        </c:rich>
      </c:tx>
      <c:layout>
        <c:manualLayout>
          <c:xMode val="edge"/>
          <c:yMode val="edge"/>
          <c:x val="2.0445938088599465E-2"/>
          <c:y val="5.672563552066987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table'!$B$62</c:f>
              <c:strCache>
                <c:ptCount val="1"/>
                <c:pt idx="0">
                  <c:v>Total</c:v>
                </c:pt>
              </c:strCache>
            </c:strRef>
          </c:tx>
          <c:spPr>
            <a:solidFill>
              <a:schemeClr val="accent4">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cat>
            <c:strRef>
              <c:f>'pivot table'!$A$63:$A$69</c:f>
              <c:strCache>
                <c:ptCount val="6"/>
                <c:pt idx="0">
                  <c:v>Africa</c:v>
                </c:pt>
                <c:pt idx="1">
                  <c:v>Americas</c:v>
                </c:pt>
                <c:pt idx="2">
                  <c:v>Eastern Mediterranean</c:v>
                </c:pt>
                <c:pt idx="3">
                  <c:v>Europe</c:v>
                </c:pt>
                <c:pt idx="4">
                  <c:v>South-East Asia</c:v>
                </c:pt>
                <c:pt idx="5">
                  <c:v>Western Pacific</c:v>
                </c:pt>
              </c:strCache>
            </c:strRef>
          </c:cat>
          <c:val>
            <c:numRef>
              <c:f>'pivot table'!$B$63:$B$69</c:f>
              <c:numCache>
                <c:formatCode>General</c:formatCode>
                <c:ptCount val="6"/>
                <c:pt idx="0">
                  <c:v>14563</c:v>
                </c:pt>
                <c:pt idx="1">
                  <c:v>94776</c:v>
                </c:pt>
                <c:pt idx="2">
                  <c:v>14843</c:v>
                </c:pt>
                <c:pt idx="3">
                  <c:v>11732</c:v>
                </c:pt>
                <c:pt idx="4">
                  <c:v>37582</c:v>
                </c:pt>
                <c:pt idx="5">
                  <c:v>1127</c:v>
                </c:pt>
              </c:numCache>
            </c:numRef>
          </c:val>
          <c:extLst>
            <c:ext xmlns:c16="http://schemas.microsoft.com/office/drawing/2014/chart" uri="{C3380CC4-5D6E-409C-BE32-E72D297353CC}">
              <c16:uniqueId val="{00000000-7BAC-4374-9CAA-D1F9ED9F0CD4}"/>
            </c:ext>
          </c:extLst>
        </c:ser>
        <c:dLbls>
          <c:dLblPos val="outEnd"/>
          <c:showLegendKey val="0"/>
          <c:showVal val="1"/>
          <c:showCatName val="0"/>
          <c:showSerName val="0"/>
          <c:showPercent val="0"/>
          <c:showBubbleSize val="0"/>
        </c:dLbls>
        <c:gapWidth val="182"/>
        <c:axId val="1570664239"/>
        <c:axId val="1570661839"/>
      </c:barChart>
      <c:catAx>
        <c:axId val="15706642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570661839"/>
        <c:crosses val="autoZero"/>
        <c:auto val="1"/>
        <c:lblAlgn val="ctr"/>
        <c:lblOffset val="100"/>
        <c:noMultiLvlLbl val="0"/>
      </c:catAx>
      <c:valAx>
        <c:axId val="15706618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5706642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[COVID_19_pr.xlsx]pivot table!PivotTable8</c:name>
    <c:fmtId val="4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CONFIRMED</a:t>
            </a:r>
            <a:r>
              <a:rPr lang="en-US" b="1" baseline="0"/>
              <a:t> &amp; CHANGE'S</a:t>
            </a:r>
            <a:endParaRPr lang="en-US" b="1"/>
          </a:p>
        </c:rich>
      </c:tx>
      <c:layout>
        <c:manualLayout>
          <c:xMode val="edge"/>
          <c:yMode val="edge"/>
          <c:x val="2.3338352612254247E-2"/>
          <c:y val="2.652254690588124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rgbClr val="FF0000"/>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3">
                <a:lumMod val="60000"/>
                <a:lumOff val="40000"/>
              </a:schemeClr>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2"/>
            </a:solidFill>
            <a:round/>
          </a:ln>
          <a:effectLst/>
        </c:spPr>
        <c:marker>
          <c:symbol val="circle"/>
          <c:size val="5"/>
          <c:spPr>
            <a:solidFill>
              <a:schemeClr val="accent3">
                <a:lumMod val="60000"/>
                <a:lumOff val="40000"/>
              </a:schemeClr>
            </a:solidFill>
            <a:ln w="9525">
              <a:solidFill>
                <a:schemeClr val="accent2"/>
              </a:solidFill>
            </a:ln>
            <a:effectLst/>
          </c:spPr>
        </c:marker>
        <c:dLbl>
          <c:idx val="0"/>
          <c:layout>
            <c:manualLayout>
              <c:x val="1.214257053237431E-2"/>
              <c:y val="-3.147072482518218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2"/>
            </a:solidFill>
            <a:round/>
          </a:ln>
          <a:effectLst/>
        </c:spPr>
        <c:marker>
          <c:symbol val="circle"/>
          <c:size val="5"/>
          <c:spPr>
            <a:solidFill>
              <a:schemeClr val="accent3">
                <a:lumMod val="60000"/>
                <a:lumOff val="40000"/>
              </a:schemeClr>
            </a:solidFill>
            <a:ln w="9525">
              <a:solidFill>
                <a:schemeClr val="accent2"/>
              </a:solidFill>
            </a:ln>
            <a:effectLst/>
          </c:spPr>
        </c:marker>
        <c:dLbl>
          <c:idx val="0"/>
          <c:layout>
            <c:manualLayout>
              <c:x val="-1.0082278781393863E-3"/>
              <c:y val="-8.451581863694476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2"/>
            </a:solidFill>
            <a:round/>
          </a:ln>
          <a:effectLst/>
        </c:spPr>
        <c:marker>
          <c:symbol val="circle"/>
          <c:size val="5"/>
          <c:spPr>
            <a:solidFill>
              <a:schemeClr val="accent3">
                <a:lumMod val="60000"/>
                <a:lumOff val="40000"/>
              </a:schemeClr>
            </a:solidFill>
            <a:ln w="9525">
              <a:solidFill>
                <a:schemeClr val="accent2"/>
              </a:solidFill>
            </a:ln>
            <a:effectLst/>
          </c:spPr>
        </c:marker>
        <c:dLbl>
          <c:idx val="0"/>
          <c:layout>
            <c:manualLayout>
              <c:x val="-6.1764916534712846E-2"/>
              <c:y val="-8.451581863694471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rgbClr val="FF0000"/>
            </a:solidFill>
            <a:ln w="9525">
              <a:solidFill>
                <a:schemeClr val="accent1"/>
              </a:solidFill>
            </a:ln>
            <a:effectLst/>
          </c:spPr>
        </c:marker>
        <c:dLbl>
          <c:idx val="0"/>
          <c:layout>
            <c:manualLayout>
              <c:x val="-9.9025512031168411E-2"/>
              <c:y val="-3.810136155165252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chemeClr val="accent2"/>
            </a:solidFill>
            <a:round/>
          </a:ln>
          <a:effectLst/>
        </c:spPr>
        <c:marker>
          <c:symbol val="circle"/>
          <c:size val="5"/>
          <c:spPr>
            <a:solidFill>
              <a:schemeClr val="accent3">
                <a:lumMod val="60000"/>
                <a:lumOff val="40000"/>
              </a:schemeClr>
            </a:solidFill>
            <a:ln w="9525">
              <a:solidFill>
                <a:schemeClr val="accent2"/>
              </a:solidFill>
            </a:ln>
            <a:effectLst/>
          </c:spPr>
        </c:marker>
        <c:dLbl>
          <c:idx val="0"/>
          <c:layout>
            <c:manualLayout>
              <c:x val="-2.073442549390999E-2"/>
              <c:y val="-0.1010924104531204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circle"/>
          <c:size val="5"/>
          <c:spPr>
            <a:solidFill>
              <a:srgbClr val="FF0000"/>
            </a:solidFill>
            <a:ln w="9525">
              <a:solidFill>
                <a:schemeClr val="accent1"/>
              </a:solidFill>
            </a:ln>
            <a:effectLst/>
          </c:spPr>
        </c:marker>
        <c:dLbl>
          <c:idx val="0"/>
          <c:layout>
            <c:manualLayout>
              <c:x val="-1.2931618437005174E-2"/>
              <c:y val="-4.473199827812296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ln w="28575" cap="rnd">
            <a:solidFill>
              <a:schemeClr val="accent2"/>
            </a:solidFill>
            <a:round/>
          </a:ln>
          <a:effectLst/>
        </c:spPr>
        <c:marker>
          <c:symbol val="circle"/>
          <c:size val="5"/>
          <c:spPr>
            <a:solidFill>
              <a:schemeClr val="accent3">
                <a:lumMod val="60000"/>
                <a:lumOff val="40000"/>
              </a:schemeClr>
            </a:solidFill>
            <a:ln w="9525">
              <a:solidFill>
                <a:schemeClr val="accent2"/>
              </a:solidFill>
            </a:ln>
            <a:effectLst/>
          </c:spPr>
        </c:marker>
        <c:dLbl>
          <c:idx val="0"/>
          <c:layout>
            <c:manualLayout>
              <c:x val="-1.19672265535675E-2"/>
              <c:y val="-8.451581863694471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ln w="28575" cap="rnd">
            <a:solidFill>
              <a:schemeClr val="accent2"/>
            </a:solidFill>
            <a:round/>
          </a:ln>
          <a:effectLst/>
        </c:spPr>
        <c:marker>
          <c:symbol val="circle"/>
          <c:size val="5"/>
          <c:spPr>
            <a:solidFill>
              <a:schemeClr val="accent3">
                <a:lumMod val="60000"/>
                <a:lumOff val="40000"/>
              </a:schemeClr>
            </a:solidFill>
            <a:ln w="9525">
              <a:solidFill>
                <a:schemeClr val="accent2"/>
              </a:solidFill>
            </a:ln>
            <a:effectLst/>
          </c:spPr>
        </c:marker>
        <c:dLbl>
          <c:idx val="0"/>
          <c:layout>
            <c:manualLayout>
              <c:x val="-1.7928921833000391E-2"/>
              <c:y val="-6.793922682076905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circle"/>
          <c:size val="5"/>
          <c:spPr>
            <a:solidFill>
              <a:srgbClr val="FF0000"/>
            </a:solidFill>
            <a:ln w="9525">
              <a:solidFill>
                <a:schemeClr val="accent1"/>
              </a:solidFill>
            </a:ln>
            <a:effectLst/>
          </c:spPr>
        </c:marker>
        <c:dLbl>
          <c:idx val="0"/>
          <c:layout>
            <c:manualLayout>
              <c:x val="1.556177811910792E-2"/>
              <c:y val="-2.815540646194706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circle"/>
          <c:size val="5"/>
          <c:spPr>
            <a:solidFill>
              <a:srgbClr val="FF0000"/>
            </a:solidFill>
            <a:ln w="9525">
              <a:solidFill>
                <a:schemeClr val="accent1"/>
              </a:solidFill>
            </a:ln>
            <a:effectLst/>
          </c:spPr>
        </c:marker>
        <c:dLbl>
          <c:idx val="0"/>
          <c:layout>
            <c:manualLayout>
              <c:x val="-1.1353522627743525E-2"/>
              <c:y val="-2.815540646194706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table'!$B$72</c:f>
              <c:strCache>
                <c:ptCount val="1"/>
                <c:pt idx="0">
                  <c:v>Sum of 1 week change</c:v>
                </c:pt>
              </c:strCache>
            </c:strRef>
          </c:tx>
          <c:spPr>
            <a:ln w="28575" cap="rnd">
              <a:solidFill>
                <a:schemeClr val="accent1"/>
              </a:solidFill>
              <a:round/>
            </a:ln>
            <a:effectLst/>
          </c:spPr>
          <c:marker>
            <c:symbol val="circle"/>
            <c:size val="5"/>
            <c:spPr>
              <a:solidFill>
                <a:srgbClr val="FF0000"/>
              </a:solidFill>
              <a:ln w="9525">
                <a:solidFill>
                  <a:schemeClr val="accent1"/>
                </a:solidFill>
              </a:ln>
              <a:effectLst/>
            </c:spPr>
          </c:marker>
          <c:dLbls>
            <c:dLbl>
              <c:idx val="0"/>
              <c:layout>
                <c:manualLayout>
                  <c:x val="-9.9025512031168411E-2"/>
                  <c:y val="-3.810136155165252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A4C-4D92-A00D-1A50127C897C}"/>
                </c:ext>
              </c:extLst>
            </c:dLbl>
            <c:dLbl>
              <c:idx val="2"/>
              <c:layout>
                <c:manualLayout>
                  <c:x val="-1.2931618437005174E-2"/>
                  <c:y val="-4.473199827812296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A4C-4D92-A00D-1A50127C897C}"/>
                </c:ext>
              </c:extLst>
            </c:dLbl>
            <c:dLbl>
              <c:idx val="4"/>
              <c:layout>
                <c:manualLayout>
                  <c:x val="-1.1353522627743525E-2"/>
                  <c:y val="-2.815540646194706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AA4C-4D92-A00D-1A50127C897C}"/>
                </c:ext>
              </c:extLst>
            </c:dLbl>
            <c:dLbl>
              <c:idx val="5"/>
              <c:layout>
                <c:manualLayout>
                  <c:x val="1.556177811910792E-2"/>
                  <c:y val="-2.815540646194706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AA4C-4D92-A00D-1A50127C897C}"/>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errBars>
            <c:errDir val="y"/>
            <c:errBarType val="both"/>
            <c:errValType val="stdErr"/>
            <c:noEndCap val="0"/>
            <c:spPr>
              <a:noFill/>
              <a:ln w="9525" cap="flat" cmpd="sng" algn="ctr">
                <a:solidFill>
                  <a:schemeClr val="tx1">
                    <a:lumMod val="65000"/>
                    <a:lumOff val="35000"/>
                  </a:schemeClr>
                </a:solidFill>
                <a:round/>
              </a:ln>
              <a:effectLst/>
            </c:spPr>
          </c:errBars>
          <c:cat>
            <c:strRef>
              <c:f>'pivot table'!$A$73:$A$79</c:f>
              <c:strCache>
                <c:ptCount val="6"/>
                <c:pt idx="0">
                  <c:v>Africa</c:v>
                </c:pt>
                <c:pt idx="1">
                  <c:v>Americas</c:v>
                </c:pt>
                <c:pt idx="2">
                  <c:v>Eastern Mediterranean</c:v>
                </c:pt>
                <c:pt idx="3">
                  <c:v>Europe</c:v>
                </c:pt>
                <c:pt idx="4">
                  <c:v>South-East Asia</c:v>
                </c:pt>
                <c:pt idx="5">
                  <c:v>Western Pacific</c:v>
                </c:pt>
              </c:strCache>
            </c:strRef>
          </c:cat>
          <c:val>
            <c:numRef>
              <c:f>'pivot table'!$B$73:$B$79</c:f>
              <c:numCache>
                <c:formatCode>General</c:formatCode>
                <c:ptCount val="6"/>
                <c:pt idx="0">
                  <c:v>115087</c:v>
                </c:pt>
                <c:pt idx="1">
                  <c:v>1024088</c:v>
                </c:pt>
                <c:pt idx="2">
                  <c:v>91897</c:v>
                </c:pt>
                <c:pt idx="3">
                  <c:v>152707</c:v>
                </c:pt>
                <c:pt idx="4">
                  <c:v>357014</c:v>
                </c:pt>
                <c:pt idx="5">
                  <c:v>26069</c:v>
                </c:pt>
              </c:numCache>
            </c:numRef>
          </c:val>
          <c:smooth val="0"/>
          <c:extLst>
            <c:ext xmlns:c16="http://schemas.microsoft.com/office/drawing/2014/chart" uri="{C3380CC4-5D6E-409C-BE32-E72D297353CC}">
              <c16:uniqueId val="{00000000-AA4C-4D92-A00D-1A50127C897C}"/>
            </c:ext>
          </c:extLst>
        </c:ser>
        <c:ser>
          <c:idx val="1"/>
          <c:order val="1"/>
          <c:tx>
            <c:strRef>
              <c:f>'pivot table'!$C$72</c:f>
              <c:strCache>
                <c:ptCount val="1"/>
                <c:pt idx="0">
                  <c:v>Sum of Confirmed last week</c:v>
                </c:pt>
              </c:strCache>
            </c:strRef>
          </c:tx>
          <c:spPr>
            <a:ln w="28575" cap="rnd">
              <a:solidFill>
                <a:schemeClr val="accent2"/>
              </a:solidFill>
              <a:round/>
            </a:ln>
            <a:effectLst/>
          </c:spPr>
          <c:marker>
            <c:symbol val="circle"/>
            <c:size val="5"/>
            <c:spPr>
              <a:solidFill>
                <a:schemeClr val="accent3">
                  <a:lumMod val="60000"/>
                  <a:lumOff val="40000"/>
                </a:schemeClr>
              </a:solidFill>
              <a:ln w="9525">
                <a:solidFill>
                  <a:schemeClr val="accent2"/>
                </a:solidFill>
              </a:ln>
              <a:effectLst/>
            </c:spPr>
          </c:marker>
          <c:dLbls>
            <c:dLbl>
              <c:idx val="0"/>
              <c:layout>
                <c:manualLayout>
                  <c:x val="-6.1764916534712846E-2"/>
                  <c:y val="-8.451581863694471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A4C-4D92-A00D-1A50127C897C}"/>
                </c:ext>
              </c:extLst>
            </c:dLbl>
            <c:dLbl>
              <c:idx val="1"/>
              <c:layout>
                <c:manualLayout>
                  <c:x val="1.214257053237431E-2"/>
                  <c:y val="-3.147072482518218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A4C-4D92-A00D-1A50127C897C}"/>
                </c:ext>
              </c:extLst>
            </c:dLbl>
            <c:dLbl>
              <c:idx val="2"/>
              <c:layout>
                <c:manualLayout>
                  <c:x val="-2.073442549390999E-2"/>
                  <c:y val="-0.10109241045312048"/>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A4C-4D92-A00D-1A50127C897C}"/>
                </c:ext>
              </c:extLst>
            </c:dLbl>
            <c:dLbl>
              <c:idx val="3"/>
              <c:layout>
                <c:manualLayout>
                  <c:x val="-1.0082278781393863E-3"/>
                  <c:y val="-8.451581863694476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A4C-4D92-A00D-1A50127C897C}"/>
                </c:ext>
              </c:extLst>
            </c:dLbl>
            <c:dLbl>
              <c:idx val="4"/>
              <c:layout>
                <c:manualLayout>
                  <c:x val="-1.19672265535675E-2"/>
                  <c:y val="-8.451581863694471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AA4C-4D92-A00D-1A50127C897C}"/>
                </c:ext>
              </c:extLst>
            </c:dLbl>
            <c:dLbl>
              <c:idx val="5"/>
              <c:layout>
                <c:manualLayout>
                  <c:x val="-1.7928921833000391E-2"/>
                  <c:y val="-6.793922682076905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A4C-4D92-A00D-1A50127C897C}"/>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errBars>
            <c:errDir val="y"/>
            <c:errBarType val="both"/>
            <c:errValType val="stdErr"/>
            <c:noEndCap val="0"/>
            <c:spPr>
              <a:noFill/>
              <a:ln w="9525" cap="flat" cmpd="sng" algn="ctr">
                <a:solidFill>
                  <a:schemeClr val="tx1">
                    <a:lumMod val="65000"/>
                    <a:lumOff val="35000"/>
                  </a:schemeClr>
                </a:solidFill>
                <a:round/>
              </a:ln>
              <a:effectLst/>
            </c:spPr>
          </c:errBars>
          <c:cat>
            <c:strRef>
              <c:f>'pivot table'!$A$73:$A$79</c:f>
              <c:strCache>
                <c:ptCount val="6"/>
                <c:pt idx="0">
                  <c:v>Africa</c:v>
                </c:pt>
                <c:pt idx="1">
                  <c:v>Americas</c:v>
                </c:pt>
                <c:pt idx="2">
                  <c:v>Eastern Mediterranean</c:v>
                </c:pt>
                <c:pt idx="3">
                  <c:v>Europe</c:v>
                </c:pt>
                <c:pt idx="4">
                  <c:v>South-East Asia</c:v>
                </c:pt>
                <c:pt idx="5">
                  <c:v>Western Pacific</c:v>
                </c:pt>
              </c:strCache>
            </c:strRef>
          </c:cat>
          <c:val>
            <c:numRef>
              <c:f>'pivot table'!$C$73:$C$79</c:f>
              <c:numCache>
                <c:formatCode>General</c:formatCode>
                <c:ptCount val="6"/>
                <c:pt idx="0">
                  <c:v>608120</c:v>
                </c:pt>
                <c:pt idx="1">
                  <c:v>7815198</c:v>
                </c:pt>
                <c:pt idx="2">
                  <c:v>1398847</c:v>
                </c:pt>
                <c:pt idx="3">
                  <c:v>3146816</c:v>
                </c:pt>
                <c:pt idx="4">
                  <c:v>1478283</c:v>
                </c:pt>
                <c:pt idx="5">
                  <c:v>266359</c:v>
                </c:pt>
              </c:numCache>
            </c:numRef>
          </c:val>
          <c:smooth val="0"/>
          <c:extLst>
            <c:ext xmlns:c16="http://schemas.microsoft.com/office/drawing/2014/chart" uri="{C3380CC4-5D6E-409C-BE32-E72D297353CC}">
              <c16:uniqueId val="{00000001-AA4C-4D92-A00D-1A50127C897C}"/>
            </c:ext>
          </c:extLst>
        </c:ser>
        <c:dLbls>
          <c:dLblPos val="t"/>
          <c:showLegendKey val="0"/>
          <c:showVal val="1"/>
          <c:showCatName val="0"/>
          <c:showSerName val="0"/>
          <c:showPercent val="0"/>
          <c:showBubbleSize val="0"/>
        </c:dLbls>
        <c:marker val="1"/>
        <c:smooth val="0"/>
        <c:axId val="749934751"/>
        <c:axId val="749944831"/>
      </c:lineChart>
      <c:catAx>
        <c:axId val="749934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49944831"/>
        <c:crosses val="autoZero"/>
        <c:auto val="1"/>
        <c:lblAlgn val="ctr"/>
        <c:lblOffset val="100"/>
        <c:noMultiLvlLbl val="0"/>
      </c:catAx>
      <c:valAx>
        <c:axId val="749944831"/>
        <c:scaling>
          <c:orientation val="minMax"/>
        </c:scaling>
        <c:delete val="0"/>
        <c:axPos val="l"/>
        <c:majorGridlines>
          <c:spPr>
            <a:ln w="9525" cap="flat" cmpd="sng" algn="ctr">
              <a:solidFill>
                <a:schemeClr val="tx1">
                  <a:lumMod val="85000"/>
                  <a:lumOff val="1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499347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[COVID_19_pr.xlsx]pivot table!PivotTable9</c:name>
    <c:fmtId val="3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DEATH</a:t>
            </a:r>
          </a:p>
        </c:rich>
      </c:tx>
      <c:layout>
        <c:manualLayout>
          <c:xMode val="edge"/>
          <c:yMode val="edge"/>
          <c:x val="0.35042924139697768"/>
          <c:y val="4.031131764048653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pieChart>
        <c:varyColors val="1"/>
        <c:ser>
          <c:idx val="0"/>
          <c:order val="0"/>
          <c:tx>
            <c:strRef>
              <c:f>'pivot table'!$B$93</c:f>
              <c:strCache>
                <c:ptCount val="1"/>
                <c:pt idx="0">
                  <c:v>Total</c:v>
                </c:pt>
              </c:strCache>
            </c:strRef>
          </c:tx>
          <c:dPt>
            <c:idx val="0"/>
            <c:bubble3D val="0"/>
            <c:explosion val="14"/>
            <c:spPr>
              <a:solidFill>
                <a:schemeClr val="accent1">
                  <a:shade val="50000"/>
                </a:schemeClr>
              </a:solidFill>
              <a:ln w="19050">
                <a:solidFill>
                  <a:schemeClr val="lt1"/>
                </a:solidFill>
              </a:ln>
              <a:effectLst/>
            </c:spPr>
            <c:extLst>
              <c:ext xmlns:c16="http://schemas.microsoft.com/office/drawing/2014/chart" uri="{C3380CC4-5D6E-409C-BE32-E72D297353CC}">
                <c16:uniqueId val="{00000001-F523-4DBD-B7DD-219934D05C4A}"/>
              </c:ext>
            </c:extLst>
          </c:dPt>
          <c:dPt>
            <c:idx val="1"/>
            <c:bubble3D val="0"/>
            <c:spPr>
              <a:solidFill>
                <a:schemeClr val="accent1">
                  <a:shade val="70000"/>
                </a:schemeClr>
              </a:solidFill>
              <a:ln w="19050">
                <a:solidFill>
                  <a:schemeClr val="lt1"/>
                </a:solidFill>
              </a:ln>
              <a:effectLst/>
            </c:spPr>
            <c:extLst>
              <c:ext xmlns:c16="http://schemas.microsoft.com/office/drawing/2014/chart" uri="{C3380CC4-5D6E-409C-BE32-E72D297353CC}">
                <c16:uniqueId val="{00000003-F523-4DBD-B7DD-219934D05C4A}"/>
              </c:ext>
            </c:extLst>
          </c:dPt>
          <c:dPt>
            <c:idx val="2"/>
            <c:bubble3D val="0"/>
            <c:spPr>
              <a:solidFill>
                <a:schemeClr val="accent1">
                  <a:shade val="90000"/>
                </a:schemeClr>
              </a:solidFill>
              <a:ln w="19050">
                <a:solidFill>
                  <a:schemeClr val="lt1"/>
                </a:solidFill>
              </a:ln>
              <a:effectLst/>
            </c:spPr>
            <c:extLst>
              <c:ext xmlns:c16="http://schemas.microsoft.com/office/drawing/2014/chart" uri="{C3380CC4-5D6E-409C-BE32-E72D297353CC}">
                <c16:uniqueId val="{00000005-F523-4DBD-B7DD-219934D05C4A}"/>
              </c:ext>
            </c:extLst>
          </c:dPt>
          <c:dPt>
            <c:idx val="3"/>
            <c:bubble3D val="0"/>
            <c:explosion val="11"/>
            <c:spPr>
              <a:solidFill>
                <a:schemeClr val="accent1">
                  <a:tint val="90000"/>
                </a:schemeClr>
              </a:solidFill>
              <a:ln w="19050">
                <a:solidFill>
                  <a:schemeClr val="lt1"/>
                </a:solidFill>
              </a:ln>
              <a:effectLst/>
            </c:spPr>
            <c:extLst>
              <c:ext xmlns:c16="http://schemas.microsoft.com/office/drawing/2014/chart" uri="{C3380CC4-5D6E-409C-BE32-E72D297353CC}">
                <c16:uniqueId val="{00000007-F523-4DBD-B7DD-219934D05C4A}"/>
              </c:ext>
            </c:extLst>
          </c:dPt>
          <c:dPt>
            <c:idx val="4"/>
            <c:bubble3D val="0"/>
            <c:spPr>
              <a:solidFill>
                <a:schemeClr val="accent1">
                  <a:tint val="70000"/>
                </a:schemeClr>
              </a:solidFill>
              <a:ln w="19050">
                <a:solidFill>
                  <a:schemeClr val="lt1"/>
                </a:solidFill>
              </a:ln>
              <a:effectLst/>
            </c:spPr>
            <c:extLst>
              <c:ext xmlns:c16="http://schemas.microsoft.com/office/drawing/2014/chart" uri="{C3380CC4-5D6E-409C-BE32-E72D297353CC}">
                <c16:uniqueId val="{00000009-F523-4DBD-B7DD-219934D05C4A}"/>
              </c:ext>
            </c:extLst>
          </c:dPt>
          <c:dPt>
            <c:idx val="5"/>
            <c:bubble3D val="0"/>
            <c:spPr>
              <a:solidFill>
                <a:schemeClr val="accent1">
                  <a:tint val="50000"/>
                </a:schemeClr>
              </a:solidFill>
              <a:ln w="19050">
                <a:solidFill>
                  <a:schemeClr val="lt1"/>
                </a:solidFill>
              </a:ln>
              <a:effectLst/>
            </c:spPr>
            <c:extLst>
              <c:ext xmlns:c16="http://schemas.microsoft.com/office/drawing/2014/chart" uri="{C3380CC4-5D6E-409C-BE32-E72D297353CC}">
                <c16:uniqueId val="{0000000B-F523-4DBD-B7DD-219934D05C4A}"/>
              </c:ext>
            </c:extLst>
          </c:dPt>
          <c:cat>
            <c:strRef>
              <c:f>'pivot table'!$A$94:$A$100</c:f>
              <c:strCache>
                <c:ptCount val="6"/>
                <c:pt idx="0">
                  <c:v>Africa</c:v>
                </c:pt>
                <c:pt idx="1">
                  <c:v>Americas</c:v>
                </c:pt>
                <c:pt idx="2">
                  <c:v>Eastern Mediterranean</c:v>
                </c:pt>
                <c:pt idx="3">
                  <c:v>Europe</c:v>
                </c:pt>
                <c:pt idx="4">
                  <c:v>South-East Asia</c:v>
                </c:pt>
                <c:pt idx="5">
                  <c:v>Western Pacific</c:v>
                </c:pt>
              </c:strCache>
            </c:strRef>
          </c:cat>
          <c:val>
            <c:numRef>
              <c:f>'pivot table'!$B$94:$B$100</c:f>
              <c:numCache>
                <c:formatCode>General</c:formatCode>
                <c:ptCount val="6"/>
                <c:pt idx="0">
                  <c:v>110.71000000000002</c:v>
                </c:pt>
                <c:pt idx="1">
                  <c:v>106.84</c:v>
                </c:pt>
                <c:pt idx="2">
                  <c:v>78.389999999999986</c:v>
                </c:pt>
                <c:pt idx="3">
                  <c:v>235.11</c:v>
                </c:pt>
                <c:pt idx="4">
                  <c:v>12.959999999999999</c:v>
                </c:pt>
                <c:pt idx="5">
                  <c:v>20.64</c:v>
                </c:pt>
              </c:numCache>
            </c:numRef>
          </c:val>
          <c:extLst>
            <c:ext xmlns:c16="http://schemas.microsoft.com/office/drawing/2014/chart" uri="{C3380CC4-5D6E-409C-BE32-E72D297353CC}">
              <c16:uniqueId val="{0000000C-F523-4DBD-B7DD-219934D05C4A}"/>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[COVID_19_pr.xlsx]pivot table!PivotTable10</c:name>
    <c:fmtId val="4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RECOVERED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pieChart>
        <c:varyColors val="1"/>
        <c:ser>
          <c:idx val="0"/>
          <c:order val="0"/>
          <c:tx>
            <c:strRef>
              <c:f>'pivot table'!$B$105</c:f>
              <c:strCache>
                <c:ptCount val="1"/>
                <c:pt idx="0">
                  <c:v>Total</c:v>
                </c:pt>
              </c:strCache>
            </c:strRef>
          </c:tx>
          <c:dPt>
            <c:idx val="0"/>
            <c:bubble3D val="0"/>
            <c:explosion val="7"/>
            <c:spPr>
              <a:solidFill>
                <a:schemeClr val="accent1">
                  <a:shade val="50000"/>
                </a:schemeClr>
              </a:solidFill>
              <a:ln w="19050">
                <a:solidFill>
                  <a:schemeClr val="lt1"/>
                </a:solidFill>
              </a:ln>
              <a:effectLst/>
            </c:spPr>
            <c:extLst>
              <c:ext xmlns:c16="http://schemas.microsoft.com/office/drawing/2014/chart" uri="{C3380CC4-5D6E-409C-BE32-E72D297353CC}">
                <c16:uniqueId val="{00000001-138B-475A-8B15-52539C3D0795}"/>
              </c:ext>
            </c:extLst>
          </c:dPt>
          <c:dPt>
            <c:idx val="1"/>
            <c:bubble3D val="0"/>
            <c:explosion val="10"/>
            <c:spPr>
              <a:solidFill>
                <a:schemeClr val="accent1">
                  <a:shade val="70000"/>
                </a:schemeClr>
              </a:solidFill>
              <a:ln w="19050">
                <a:solidFill>
                  <a:schemeClr val="lt1"/>
                </a:solidFill>
              </a:ln>
              <a:effectLst/>
            </c:spPr>
            <c:extLst>
              <c:ext xmlns:c16="http://schemas.microsoft.com/office/drawing/2014/chart" uri="{C3380CC4-5D6E-409C-BE32-E72D297353CC}">
                <c16:uniqueId val="{00000003-138B-475A-8B15-52539C3D0795}"/>
              </c:ext>
            </c:extLst>
          </c:dPt>
          <c:dPt>
            <c:idx val="2"/>
            <c:bubble3D val="0"/>
            <c:spPr>
              <a:solidFill>
                <a:schemeClr val="accent1">
                  <a:shade val="90000"/>
                </a:schemeClr>
              </a:solidFill>
              <a:ln w="19050">
                <a:solidFill>
                  <a:schemeClr val="lt1"/>
                </a:solidFill>
              </a:ln>
              <a:effectLst/>
            </c:spPr>
            <c:extLst>
              <c:ext xmlns:c16="http://schemas.microsoft.com/office/drawing/2014/chart" uri="{C3380CC4-5D6E-409C-BE32-E72D297353CC}">
                <c16:uniqueId val="{00000005-138B-475A-8B15-52539C3D0795}"/>
              </c:ext>
            </c:extLst>
          </c:dPt>
          <c:dPt>
            <c:idx val="3"/>
            <c:bubble3D val="0"/>
            <c:spPr>
              <a:solidFill>
                <a:schemeClr val="accent1">
                  <a:tint val="90000"/>
                </a:schemeClr>
              </a:solidFill>
              <a:ln w="19050">
                <a:solidFill>
                  <a:schemeClr val="lt1"/>
                </a:solidFill>
              </a:ln>
              <a:effectLst/>
            </c:spPr>
            <c:extLst>
              <c:ext xmlns:c16="http://schemas.microsoft.com/office/drawing/2014/chart" uri="{C3380CC4-5D6E-409C-BE32-E72D297353CC}">
                <c16:uniqueId val="{00000007-138B-475A-8B15-52539C3D0795}"/>
              </c:ext>
            </c:extLst>
          </c:dPt>
          <c:dPt>
            <c:idx val="4"/>
            <c:bubble3D val="0"/>
            <c:spPr>
              <a:solidFill>
                <a:schemeClr val="accent1">
                  <a:tint val="70000"/>
                </a:schemeClr>
              </a:solidFill>
              <a:ln w="19050">
                <a:solidFill>
                  <a:schemeClr val="lt1"/>
                </a:solidFill>
              </a:ln>
              <a:effectLst/>
            </c:spPr>
            <c:extLst>
              <c:ext xmlns:c16="http://schemas.microsoft.com/office/drawing/2014/chart" uri="{C3380CC4-5D6E-409C-BE32-E72D297353CC}">
                <c16:uniqueId val="{00000009-138B-475A-8B15-52539C3D0795}"/>
              </c:ext>
            </c:extLst>
          </c:dPt>
          <c:dPt>
            <c:idx val="5"/>
            <c:bubble3D val="0"/>
            <c:spPr>
              <a:solidFill>
                <a:schemeClr val="accent1">
                  <a:tint val="50000"/>
                </a:schemeClr>
              </a:solidFill>
              <a:ln w="19050">
                <a:solidFill>
                  <a:schemeClr val="lt1"/>
                </a:solidFill>
              </a:ln>
              <a:effectLst/>
            </c:spPr>
            <c:extLst>
              <c:ext xmlns:c16="http://schemas.microsoft.com/office/drawing/2014/chart" uri="{C3380CC4-5D6E-409C-BE32-E72D297353CC}">
                <c16:uniqueId val="{0000000B-138B-475A-8B15-52539C3D0795}"/>
              </c:ext>
            </c:extLst>
          </c:dPt>
          <c:cat>
            <c:strRef>
              <c:f>'pivot table'!$A$106:$A$112</c:f>
              <c:strCache>
                <c:ptCount val="6"/>
                <c:pt idx="0">
                  <c:v>Africa</c:v>
                </c:pt>
                <c:pt idx="1">
                  <c:v>Americas</c:v>
                </c:pt>
                <c:pt idx="2">
                  <c:v>Eastern Mediterranean</c:v>
                </c:pt>
                <c:pt idx="3">
                  <c:v>Europe</c:v>
                </c:pt>
                <c:pt idx="4">
                  <c:v>South-East Asia</c:v>
                </c:pt>
                <c:pt idx="5">
                  <c:v>Western Pacific</c:v>
                </c:pt>
              </c:strCache>
            </c:strRef>
          </c:cat>
          <c:val>
            <c:numRef>
              <c:f>'pivot table'!$B$106:$B$112</c:f>
              <c:numCache>
                <c:formatCode>General</c:formatCode>
                <c:ptCount val="6"/>
                <c:pt idx="0">
                  <c:v>2736.71</c:v>
                </c:pt>
                <c:pt idx="1">
                  <c:v>2180.1999999999998</c:v>
                </c:pt>
                <c:pt idx="2">
                  <c:v>1465.05</c:v>
                </c:pt>
                <c:pt idx="3">
                  <c:v>3843.559999999999</c:v>
                </c:pt>
                <c:pt idx="4">
                  <c:v>667.04000000000008</c:v>
                </c:pt>
                <c:pt idx="5">
                  <c:v>1228.8800000000001</c:v>
                </c:pt>
              </c:numCache>
            </c:numRef>
          </c:val>
          <c:extLst>
            <c:ext xmlns:c16="http://schemas.microsoft.com/office/drawing/2014/chart" uri="{C3380CC4-5D6E-409C-BE32-E72D297353CC}">
              <c16:uniqueId val="{0000000C-138B-475A-8B15-52539C3D0795}"/>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[COVID_19_pr.xlsx]pivot table!PivotTable11</c:name>
    <c:fmtId val="4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1% INCREASE IN WEEK</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pivotFmt>
      <c:pivotFmt>
        <c:idx val="18"/>
        <c:spPr>
          <a:solidFill>
            <a:schemeClr val="accent1"/>
          </a:solidFill>
          <a:ln>
            <a:noFill/>
          </a:ln>
          <a:effectLst/>
        </c:spPr>
      </c:pivotFmt>
      <c:pivotFmt>
        <c:idx val="19"/>
        <c:spPr>
          <a:solidFill>
            <a:schemeClr val="accent1"/>
          </a:solidFill>
          <a:ln>
            <a:noFill/>
          </a:ln>
          <a:effectLst/>
        </c:spPr>
      </c:pivotFmt>
      <c:pivotFmt>
        <c:idx val="20"/>
        <c:spPr>
          <a:solidFill>
            <a:schemeClr val="accent1"/>
          </a:solidFill>
          <a:ln>
            <a:noFill/>
          </a:ln>
          <a:effectLst/>
        </c:spPr>
      </c:pivotFmt>
      <c:pivotFmt>
        <c:idx val="21"/>
        <c:spPr>
          <a:solidFill>
            <a:schemeClr val="accent1"/>
          </a:solidFill>
          <a:ln>
            <a:noFill/>
          </a:ln>
          <a:effectLst/>
        </c:spPr>
      </c:pivotFmt>
      <c:pivotFmt>
        <c:idx val="22"/>
        <c:spPr>
          <a:solidFill>
            <a:schemeClr val="accent1"/>
          </a:solidFill>
          <a:ln>
            <a:noFill/>
          </a:ln>
          <a:effectLst/>
        </c:spPr>
      </c:pivotFmt>
    </c:pivotFmts>
    <c:plotArea>
      <c:layout/>
      <c:pieChart>
        <c:varyColors val="1"/>
        <c:ser>
          <c:idx val="0"/>
          <c:order val="0"/>
          <c:tx>
            <c:strRef>
              <c:f>'pivot table'!$B$116</c:f>
              <c:strCache>
                <c:ptCount val="1"/>
                <c:pt idx="0">
                  <c:v>Total</c:v>
                </c:pt>
              </c:strCache>
            </c:strRef>
          </c:tx>
          <c:dPt>
            <c:idx val="0"/>
            <c:bubble3D val="0"/>
            <c:explosion val="15"/>
            <c:spPr>
              <a:solidFill>
                <a:schemeClr val="accent1">
                  <a:shade val="50000"/>
                </a:schemeClr>
              </a:solidFill>
              <a:ln>
                <a:noFill/>
              </a:ln>
              <a:effectLst/>
            </c:spPr>
            <c:extLst>
              <c:ext xmlns:c16="http://schemas.microsoft.com/office/drawing/2014/chart" uri="{C3380CC4-5D6E-409C-BE32-E72D297353CC}">
                <c16:uniqueId val="{00000011-DE82-4A5F-9EC5-0881708C7A44}"/>
              </c:ext>
            </c:extLst>
          </c:dPt>
          <c:dPt>
            <c:idx val="1"/>
            <c:bubble3D val="0"/>
            <c:explosion val="8"/>
            <c:spPr>
              <a:solidFill>
                <a:schemeClr val="accent1">
                  <a:shade val="70000"/>
                </a:schemeClr>
              </a:solidFill>
              <a:ln>
                <a:noFill/>
              </a:ln>
              <a:effectLst/>
            </c:spPr>
            <c:extLst>
              <c:ext xmlns:c16="http://schemas.microsoft.com/office/drawing/2014/chart" uri="{C3380CC4-5D6E-409C-BE32-E72D297353CC}">
                <c16:uniqueId val="{00000013-DE82-4A5F-9EC5-0881708C7A44}"/>
              </c:ext>
            </c:extLst>
          </c:dPt>
          <c:dPt>
            <c:idx val="2"/>
            <c:bubble3D val="0"/>
            <c:spPr>
              <a:solidFill>
                <a:schemeClr val="accent1">
                  <a:shade val="90000"/>
                </a:schemeClr>
              </a:solidFill>
              <a:ln>
                <a:noFill/>
              </a:ln>
              <a:effectLst/>
            </c:spPr>
            <c:extLst>
              <c:ext xmlns:c16="http://schemas.microsoft.com/office/drawing/2014/chart" uri="{C3380CC4-5D6E-409C-BE32-E72D297353CC}">
                <c16:uniqueId val="{00000015-DE82-4A5F-9EC5-0881708C7A44}"/>
              </c:ext>
            </c:extLst>
          </c:dPt>
          <c:dPt>
            <c:idx val="3"/>
            <c:bubble3D val="0"/>
            <c:spPr>
              <a:solidFill>
                <a:schemeClr val="accent1">
                  <a:tint val="90000"/>
                </a:schemeClr>
              </a:solidFill>
              <a:ln>
                <a:noFill/>
              </a:ln>
              <a:effectLst/>
            </c:spPr>
            <c:extLst>
              <c:ext xmlns:c16="http://schemas.microsoft.com/office/drawing/2014/chart" uri="{C3380CC4-5D6E-409C-BE32-E72D297353CC}">
                <c16:uniqueId val="{00000017-DE82-4A5F-9EC5-0881708C7A44}"/>
              </c:ext>
            </c:extLst>
          </c:dPt>
          <c:dPt>
            <c:idx val="4"/>
            <c:bubble3D val="0"/>
            <c:spPr>
              <a:solidFill>
                <a:schemeClr val="accent1">
                  <a:tint val="70000"/>
                </a:schemeClr>
              </a:solidFill>
              <a:ln>
                <a:noFill/>
              </a:ln>
              <a:effectLst/>
            </c:spPr>
            <c:extLst>
              <c:ext xmlns:c16="http://schemas.microsoft.com/office/drawing/2014/chart" uri="{C3380CC4-5D6E-409C-BE32-E72D297353CC}">
                <c16:uniqueId val="{00000019-DE82-4A5F-9EC5-0881708C7A44}"/>
              </c:ext>
            </c:extLst>
          </c:dPt>
          <c:dPt>
            <c:idx val="5"/>
            <c:bubble3D val="0"/>
            <c:spPr>
              <a:solidFill>
                <a:schemeClr val="accent1">
                  <a:tint val="50000"/>
                </a:schemeClr>
              </a:solidFill>
              <a:ln>
                <a:noFill/>
              </a:ln>
              <a:effectLst/>
            </c:spPr>
            <c:extLst>
              <c:ext xmlns:c16="http://schemas.microsoft.com/office/drawing/2014/chart" uri="{C3380CC4-5D6E-409C-BE32-E72D297353CC}">
                <c16:uniqueId val="{0000001B-DE82-4A5F-9EC5-0881708C7A44}"/>
              </c:ext>
            </c:extLst>
          </c:dPt>
          <c:cat>
            <c:strRef>
              <c:f>'pivot table'!$A$117:$A$123</c:f>
              <c:strCache>
                <c:ptCount val="6"/>
                <c:pt idx="0">
                  <c:v>Africa</c:v>
                </c:pt>
                <c:pt idx="1">
                  <c:v>Americas</c:v>
                </c:pt>
                <c:pt idx="2">
                  <c:v>Eastern Mediterranean</c:v>
                </c:pt>
                <c:pt idx="3">
                  <c:v>Europe</c:v>
                </c:pt>
                <c:pt idx="4">
                  <c:v>South-East Asia</c:v>
                </c:pt>
                <c:pt idx="5">
                  <c:v>Western Pacific</c:v>
                </c:pt>
              </c:strCache>
            </c:strRef>
          </c:cat>
          <c:val>
            <c:numRef>
              <c:f>'pivot table'!$B$117:$B$123</c:f>
              <c:numCache>
                <c:formatCode>General</c:formatCode>
                <c:ptCount val="6"/>
                <c:pt idx="0">
                  <c:v>868.15</c:v>
                </c:pt>
                <c:pt idx="1">
                  <c:v>571.58999999999992</c:v>
                </c:pt>
                <c:pt idx="2">
                  <c:v>230.61000000000004</c:v>
                </c:pt>
                <c:pt idx="3">
                  <c:v>435.10000000000019</c:v>
                </c:pt>
                <c:pt idx="4">
                  <c:v>85.13000000000001</c:v>
                </c:pt>
                <c:pt idx="5">
                  <c:v>353.78</c:v>
                </c:pt>
              </c:numCache>
            </c:numRef>
          </c:val>
          <c:extLst>
            <c:ext xmlns:c16="http://schemas.microsoft.com/office/drawing/2014/chart" uri="{C3380CC4-5D6E-409C-BE32-E72D297353CC}">
              <c16:uniqueId val="{0000001C-DE82-4A5F-9EC5-0881708C7A44}"/>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chart>
  <c:spPr>
    <a:noFill/>
    <a:ln w="12700" cap="flat" cmpd="sng" algn="ctr">
      <a:no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withinLinear" id="14">
  <a:schemeClr val="accent1"/>
</cs:colorStyle>
</file>

<file path=xl/charts/colors19.xml><?xml version="1.0" encoding="utf-8"?>
<cs:colorStyle xmlns:cs="http://schemas.microsoft.com/office/drawing/2012/chartStyle" xmlns:a="http://schemas.openxmlformats.org/drawingml/2006/main" meth="withinLinear" id="14">
  <a:schemeClr val="accent1"/>
</cs:colorStyle>
</file>

<file path=xl/charts/colors20.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image" Target="../media/image5.svg"/><Relationship Id="rId13" Type="http://schemas.openxmlformats.org/officeDocument/2006/relationships/chart" Target="../charts/chart11.xml"/><Relationship Id="rId18" Type="http://schemas.openxmlformats.org/officeDocument/2006/relationships/chart" Target="../charts/chart16.xml"/><Relationship Id="rId3" Type="http://schemas.openxmlformats.org/officeDocument/2006/relationships/image" Target="../media/image2.png"/><Relationship Id="rId21" Type="http://schemas.openxmlformats.org/officeDocument/2006/relationships/chart" Target="../charts/chart19.xml"/><Relationship Id="rId7" Type="http://schemas.openxmlformats.org/officeDocument/2006/relationships/image" Target="../media/image4.png"/><Relationship Id="rId12" Type="http://schemas.microsoft.com/office/2007/relationships/hdphoto" Target="../media/hdphoto5.wdp"/><Relationship Id="rId17" Type="http://schemas.openxmlformats.org/officeDocument/2006/relationships/chart" Target="../charts/chart15.xml"/><Relationship Id="rId2" Type="http://schemas.microsoft.com/office/2007/relationships/hdphoto" Target="../media/hdphoto1.wdp"/><Relationship Id="rId16" Type="http://schemas.openxmlformats.org/officeDocument/2006/relationships/chart" Target="../charts/chart14.xml"/><Relationship Id="rId20" Type="http://schemas.openxmlformats.org/officeDocument/2006/relationships/chart" Target="../charts/chart18.xml"/><Relationship Id="rId1" Type="http://schemas.openxmlformats.org/officeDocument/2006/relationships/image" Target="../media/image1.png"/><Relationship Id="rId6" Type="http://schemas.microsoft.com/office/2007/relationships/hdphoto" Target="../media/hdphoto3.wdp"/><Relationship Id="rId11" Type="http://schemas.openxmlformats.org/officeDocument/2006/relationships/image" Target="../media/image7.png"/><Relationship Id="rId5" Type="http://schemas.openxmlformats.org/officeDocument/2006/relationships/image" Target="../media/image3.png"/><Relationship Id="rId15" Type="http://schemas.openxmlformats.org/officeDocument/2006/relationships/chart" Target="../charts/chart13.xml"/><Relationship Id="rId10" Type="http://schemas.microsoft.com/office/2007/relationships/hdphoto" Target="../media/hdphoto4.wdp"/><Relationship Id="rId19" Type="http://schemas.openxmlformats.org/officeDocument/2006/relationships/chart" Target="../charts/chart17.xml"/><Relationship Id="rId4" Type="http://schemas.microsoft.com/office/2007/relationships/hdphoto" Target="../media/hdphoto2.wdp"/><Relationship Id="rId9" Type="http://schemas.openxmlformats.org/officeDocument/2006/relationships/image" Target="../media/image6.png"/><Relationship Id="rId14" Type="http://schemas.openxmlformats.org/officeDocument/2006/relationships/chart" Target="../charts/chart12.xml"/><Relationship Id="rId22" Type="http://schemas.openxmlformats.org/officeDocument/2006/relationships/chart" Target="../charts/chart20.xml"/></Relationships>
</file>

<file path=xl/drawings/drawing1.xml><?xml version="1.0" encoding="utf-8"?>
<xdr:wsDr xmlns:xdr="http://schemas.openxmlformats.org/drawingml/2006/spreadsheetDrawing" xmlns:a="http://schemas.openxmlformats.org/drawingml/2006/main">
  <xdr:twoCellAnchor editAs="oneCell">
    <xdr:from>
      <xdr:col>4</xdr:col>
      <xdr:colOff>464005</xdr:colOff>
      <xdr:row>0</xdr:row>
      <xdr:rowOff>163285</xdr:rowOff>
    </xdr:from>
    <xdr:to>
      <xdr:col>6</xdr:col>
      <xdr:colOff>224775</xdr:colOff>
      <xdr:row>11</xdr:row>
      <xdr:rowOff>107780</xdr:rowOff>
    </xdr:to>
    <mc:AlternateContent xmlns:mc="http://schemas.openxmlformats.org/markup-compatibility/2006">
      <mc:Choice xmlns:a14="http://schemas.microsoft.com/office/drawing/2010/main" Requires="a14">
        <xdr:graphicFrame macro="">
          <xdr:nvGraphicFramePr>
            <xdr:cNvPr id="16" name="WHO Region">
              <a:extLst>
                <a:ext uri="{FF2B5EF4-FFF2-40B4-BE49-F238E27FC236}">
                  <a16:creationId xmlns:a16="http://schemas.microsoft.com/office/drawing/2014/main" id="{58ED5191-D44F-3F3F-4002-2B1F49D33F02}"/>
                </a:ext>
              </a:extLst>
            </xdr:cNvPr>
            <xdr:cNvGraphicFramePr/>
          </xdr:nvGraphicFramePr>
          <xdr:xfrm>
            <a:off x="0" y="0"/>
            <a:ext cx="0" cy="0"/>
          </xdr:xfrm>
          <a:graphic>
            <a:graphicData uri="http://schemas.microsoft.com/office/drawing/2010/slicer">
              <sle:slicer xmlns:sle="http://schemas.microsoft.com/office/drawing/2010/slicer" name="WHO Region"/>
            </a:graphicData>
          </a:graphic>
        </xdr:graphicFrame>
      </mc:Choice>
      <mc:Fallback>
        <xdr:sp macro="" textlink="">
          <xdr:nvSpPr>
            <xdr:cNvPr id="0" name=""/>
            <xdr:cNvSpPr>
              <a:spLocks noTextEdit="1"/>
            </xdr:cNvSpPr>
          </xdr:nvSpPr>
          <xdr:spPr>
            <a:xfrm>
              <a:off x="4887000" y="163285"/>
              <a:ext cx="1826092" cy="20664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1159975</xdr:colOff>
      <xdr:row>8</xdr:row>
      <xdr:rowOff>160321</xdr:rowOff>
    </xdr:from>
    <xdr:to>
      <xdr:col>3</xdr:col>
      <xdr:colOff>914778</xdr:colOff>
      <xdr:row>17</xdr:row>
      <xdr:rowOff>60733</xdr:rowOff>
    </xdr:to>
    <xdr:graphicFrame macro="">
      <xdr:nvGraphicFramePr>
        <xdr:cNvPr id="17" name="Chart 16">
          <a:extLst>
            <a:ext uri="{FF2B5EF4-FFF2-40B4-BE49-F238E27FC236}">
              <a16:creationId xmlns:a16="http://schemas.microsoft.com/office/drawing/2014/main" id="{325AA13A-5ED2-DDC9-12E4-14DBA4C1E1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169752</xdr:colOff>
      <xdr:row>20</xdr:row>
      <xdr:rowOff>75446</xdr:rowOff>
    </xdr:from>
    <xdr:to>
      <xdr:col>3</xdr:col>
      <xdr:colOff>320643</xdr:colOff>
      <xdr:row>27</xdr:row>
      <xdr:rowOff>126749</xdr:rowOff>
    </xdr:to>
    <xdr:graphicFrame macro="">
      <xdr:nvGraphicFramePr>
        <xdr:cNvPr id="18" name="Chart 17">
          <a:extLst>
            <a:ext uri="{FF2B5EF4-FFF2-40B4-BE49-F238E27FC236}">
              <a16:creationId xmlns:a16="http://schemas.microsoft.com/office/drawing/2014/main" id="{61F9D73B-04D0-4504-E39C-2545FD19BE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66015</xdr:colOff>
      <xdr:row>30</xdr:row>
      <xdr:rowOff>132029</xdr:rowOff>
    </xdr:from>
    <xdr:to>
      <xdr:col>3</xdr:col>
      <xdr:colOff>443243</xdr:colOff>
      <xdr:row>37</xdr:row>
      <xdr:rowOff>89026</xdr:rowOff>
    </xdr:to>
    <xdr:graphicFrame macro="">
      <xdr:nvGraphicFramePr>
        <xdr:cNvPr id="19" name="Chart 18">
          <a:extLst>
            <a:ext uri="{FF2B5EF4-FFF2-40B4-BE49-F238E27FC236}">
              <a16:creationId xmlns:a16="http://schemas.microsoft.com/office/drawing/2014/main" id="{F928A75F-9FCB-8FD1-71FE-F9F70B92F1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169753</xdr:colOff>
      <xdr:row>40</xdr:row>
      <xdr:rowOff>122597</xdr:rowOff>
    </xdr:from>
    <xdr:to>
      <xdr:col>3</xdr:col>
      <xdr:colOff>631857</xdr:colOff>
      <xdr:row>47</xdr:row>
      <xdr:rowOff>70163</xdr:rowOff>
    </xdr:to>
    <xdr:graphicFrame macro="">
      <xdr:nvGraphicFramePr>
        <xdr:cNvPr id="20" name="Chart 19">
          <a:extLst>
            <a:ext uri="{FF2B5EF4-FFF2-40B4-BE49-F238E27FC236}">
              <a16:creationId xmlns:a16="http://schemas.microsoft.com/office/drawing/2014/main" id="{EAE29217-90B2-5C81-030D-93B7B96D33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75445</xdr:colOff>
      <xdr:row>50</xdr:row>
      <xdr:rowOff>188613</xdr:rowOff>
    </xdr:from>
    <xdr:to>
      <xdr:col>3</xdr:col>
      <xdr:colOff>443243</xdr:colOff>
      <xdr:row>56</xdr:row>
      <xdr:rowOff>4148</xdr:rowOff>
    </xdr:to>
    <xdr:graphicFrame macro="">
      <xdr:nvGraphicFramePr>
        <xdr:cNvPr id="21" name="Chart 20">
          <a:extLst>
            <a:ext uri="{FF2B5EF4-FFF2-40B4-BE49-F238E27FC236}">
              <a16:creationId xmlns:a16="http://schemas.microsoft.com/office/drawing/2014/main" id="{1FE598B8-D92A-52FB-53B2-AAEFC5C264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113169</xdr:colOff>
      <xdr:row>60</xdr:row>
      <xdr:rowOff>132030</xdr:rowOff>
    </xdr:from>
    <xdr:to>
      <xdr:col>3</xdr:col>
      <xdr:colOff>1107164</xdr:colOff>
      <xdr:row>67</xdr:row>
      <xdr:rowOff>155041</xdr:rowOff>
    </xdr:to>
    <xdr:graphicFrame macro="">
      <xdr:nvGraphicFramePr>
        <xdr:cNvPr id="22" name="Chart 21">
          <a:extLst>
            <a:ext uri="{FF2B5EF4-FFF2-40B4-BE49-F238E27FC236}">
              <a16:creationId xmlns:a16="http://schemas.microsoft.com/office/drawing/2014/main" id="{A45F4135-7F12-6F6D-CF65-57F829F444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1244851</xdr:colOff>
      <xdr:row>69</xdr:row>
      <xdr:rowOff>160321</xdr:rowOff>
    </xdr:from>
    <xdr:to>
      <xdr:col>4</xdr:col>
      <xdr:colOff>465876</xdr:colOff>
      <xdr:row>79</xdr:row>
      <xdr:rowOff>98456</xdr:rowOff>
    </xdr:to>
    <xdr:graphicFrame macro="">
      <xdr:nvGraphicFramePr>
        <xdr:cNvPr id="24" name="Chart 23">
          <a:extLst>
            <a:ext uri="{FF2B5EF4-FFF2-40B4-BE49-F238E27FC236}">
              <a16:creationId xmlns:a16="http://schemas.microsoft.com/office/drawing/2014/main" id="{A21B2D7C-5EB8-881A-3866-ED2126CD70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94306</xdr:colOff>
      <xdr:row>90</xdr:row>
      <xdr:rowOff>132029</xdr:rowOff>
    </xdr:from>
    <xdr:to>
      <xdr:col>3</xdr:col>
      <xdr:colOff>767658</xdr:colOff>
      <xdr:row>100</xdr:row>
      <xdr:rowOff>136178</xdr:rowOff>
    </xdr:to>
    <xdr:graphicFrame macro="">
      <xdr:nvGraphicFramePr>
        <xdr:cNvPr id="26" name="Chart 25">
          <a:extLst>
            <a:ext uri="{FF2B5EF4-FFF2-40B4-BE49-F238E27FC236}">
              <a16:creationId xmlns:a16="http://schemas.microsoft.com/office/drawing/2014/main" id="{8CAD97D1-34D0-70C9-E365-1323ED0053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150890</xdr:colOff>
      <xdr:row>102</xdr:row>
      <xdr:rowOff>84876</xdr:rowOff>
    </xdr:from>
    <xdr:to>
      <xdr:col>3</xdr:col>
      <xdr:colOff>1126023</xdr:colOff>
      <xdr:row>112</xdr:row>
      <xdr:rowOff>89025</xdr:rowOff>
    </xdr:to>
    <xdr:graphicFrame macro="">
      <xdr:nvGraphicFramePr>
        <xdr:cNvPr id="27" name="Chart 26">
          <a:extLst>
            <a:ext uri="{FF2B5EF4-FFF2-40B4-BE49-F238E27FC236}">
              <a16:creationId xmlns:a16="http://schemas.microsoft.com/office/drawing/2014/main" id="{5C405B25-9E77-6A0E-B4DF-56F1B82F9C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282921</xdr:colOff>
      <xdr:row>113</xdr:row>
      <xdr:rowOff>179183</xdr:rowOff>
    </xdr:from>
    <xdr:to>
      <xdr:col>3</xdr:col>
      <xdr:colOff>867624</xdr:colOff>
      <xdr:row>123</xdr:row>
      <xdr:rowOff>47154</xdr:rowOff>
    </xdr:to>
    <xdr:graphicFrame macro="">
      <xdr:nvGraphicFramePr>
        <xdr:cNvPr id="28" name="Chart 27">
          <a:extLst>
            <a:ext uri="{FF2B5EF4-FFF2-40B4-BE49-F238E27FC236}">
              <a16:creationId xmlns:a16="http://schemas.microsoft.com/office/drawing/2014/main" id="{C0A87CC6-836E-E472-FFF3-46DFA7E2B0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576203</xdr:colOff>
      <xdr:row>1</xdr:row>
      <xdr:rowOff>117594</xdr:rowOff>
    </xdr:from>
    <xdr:to>
      <xdr:col>28</xdr:col>
      <xdr:colOff>126066</xdr:colOff>
      <xdr:row>33</xdr:row>
      <xdr:rowOff>47037</xdr:rowOff>
    </xdr:to>
    <xdr:sp macro="" textlink="">
      <xdr:nvSpPr>
        <xdr:cNvPr id="2" name="Rectangle 1">
          <a:extLst>
            <a:ext uri="{FF2B5EF4-FFF2-40B4-BE49-F238E27FC236}">
              <a16:creationId xmlns:a16="http://schemas.microsoft.com/office/drawing/2014/main" id="{01570AEA-9E81-AE0A-8E12-47257D3CB512}"/>
            </a:ext>
          </a:extLst>
        </xdr:cNvPr>
        <xdr:cNvSpPr/>
      </xdr:nvSpPr>
      <xdr:spPr>
        <a:xfrm>
          <a:off x="576203" y="313697"/>
          <a:ext cx="16806922" cy="6204737"/>
        </a:xfrm>
        <a:prstGeom prst="rect">
          <a:avLst/>
        </a:prstGeom>
        <a:solidFill>
          <a:schemeClr val="bg2"/>
        </a:solidFill>
        <a:ln>
          <a:solidFill>
            <a:schemeClr val="accent3">
              <a:lumMod val="50000"/>
            </a:schemeClr>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208131</xdr:colOff>
      <xdr:row>2</xdr:row>
      <xdr:rowOff>95319</xdr:rowOff>
    </xdr:from>
    <xdr:to>
      <xdr:col>21</xdr:col>
      <xdr:colOff>355687</xdr:colOff>
      <xdr:row>9</xdr:row>
      <xdr:rowOff>147475</xdr:rowOff>
    </xdr:to>
    <xdr:sp macro="" textlink="">
      <xdr:nvSpPr>
        <xdr:cNvPr id="3" name="Rectangle: Rounded Corners 2">
          <a:extLst>
            <a:ext uri="{FF2B5EF4-FFF2-40B4-BE49-F238E27FC236}">
              <a16:creationId xmlns:a16="http://schemas.microsoft.com/office/drawing/2014/main" id="{872EB4EF-D6F0-4853-AB0F-C041469748E9}"/>
            </a:ext>
          </a:extLst>
        </xdr:cNvPr>
        <xdr:cNvSpPr/>
      </xdr:nvSpPr>
      <xdr:spPr>
        <a:xfrm>
          <a:off x="819612" y="471615"/>
          <a:ext cx="12377186" cy="1369193"/>
        </a:xfrm>
        <a:prstGeom prst="roundRect">
          <a:avLst>
            <a:gd name="adj" fmla="val 8192"/>
          </a:avLst>
        </a:prstGeom>
        <a:solidFill>
          <a:schemeClr val="accent4">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xdr:col>
      <xdr:colOff>218130</xdr:colOff>
      <xdr:row>2</xdr:row>
      <xdr:rowOff>116335</xdr:rowOff>
    </xdr:from>
    <xdr:to>
      <xdr:col>3</xdr:col>
      <xdr:colOff>159962</xdr:colOff>
      <xdr:row>9</xdr:row>
      <xdr:rowOff>1</xdr:rowOff>
    </xdr:to>
    <xdr:pic>
      <xdr:nvPicPr>
        <xdr:cNvPr id="5" name="Picture 4">
          <a:extLst>
            <a:ext uri="{FF2B5EF4-FFF2-40B4-BE49-F238E27FC236}">
              <a16:creationId xmlns:a16="http://schemas.microsoft.com/office/drawing/2014/main" id="{092B5177-DA53-C99C-1F7D-F507D97B8EA9}"/>
            </a:ext>
          </a:extLst>
        </xdr:cNvPr>
        <xdr:cNvPicPr>
          <a:picLocks noChangeAspect="1"/>
        </xdr:cNvPicPr>
      </xdr:nvPicPr>
      <xdr:blipFill>
        <a:blip xmlns:r="http://schemas.openxmlformats.org/officeDocument/2006/relationships" r:embed="rId1" cstate="print">
          <a:extLst>
            <a:ext uri="{BEBA8EAE-BF5A-486C-A8C5-ECC9F3942E4B}">
              <a14:imgProps xmlns:a14="http://schemas.microsoft.com/office/drawing/2010/main">
                <a14:imgLayer r:embed="rId2">
                  <a14:imgEffect>
                    <a14:backgroundRemoval t="1892" b="98784" l="946" r="90000">
                      <a14:foregroundMark x1="541" y1="13514" x2="16351" y2="17162"/>
                      <a14:foregroundMark x1="16351" y1="17162" x2="37162" y2="37973"/>
                      <a14:foregroundMark x1="37162" y1="37973" x2="37027" y2="52162"/>
                      <a14:foregroundMark x1="37027" y1="52162" x2="27432" y2="69324"/>
                      <a14:foregroundMark x1="27432" y1="69324" x2="10811" y2="80946"/>
                      <a14:foregroundMark x1="10811" y1="80946" x2="1486" y2="81757"/>
                      <a14:foregroundMark x1="30676" y1="8919" x2="30676" y2="8919"/>
                      <a14:foregroundMark x1="4595" y1="2027" x2="4595" y2="10946"/>
                      <a14:foregroundMark x1="33514" y1="7162" x2="33514" y2="7162"/>
                      <a14:foregroundMark x1="30405" y1="4865" x2="34730" y2="9459"/>
                      <a14:foregroundMark x1="42432" y1="30946" x2="45676" y2="35000"/>
                      <a14:foregroundMark x1="33919" y1="6622" x2="35000" y2="9189"/>
                      <a14:foregroundMark x1="43649" y1="30135" x2="45946" y2="37568"/>
                      <a14:foregroundMark x1="43649" y1="28919" x2="45946" y2="28378"/>
                      <a14:foregroundMark x1="46486" y1="32973" x2="48243" y2="35541"/>
                      <a14:foregroundMark x1="49595" y1="40405" x2="46486" y2="34189"/>
                      <a14:foregroundMark x1="39324" y1="51622" x2="39324" y2="52162"/>
                      <a14:foregroundMark x1="51081" y1="56757" x2="50270" y2="53108"/>
                      <a14:foregroundMark x1="50270" y1="55676" x2="47973" y2="57027"/>
                      <a14:foregroundMark x1="49054" y1="58514" x2="47973" y2="57027"/>
                      <a14:foregroundMark x1="27838" y1="79865" x2="27162" y2="80811"/>
                      <a14:foregroundMark x1="30676" y1="83784" x2="29189" y2="85541"/>
                      <a14:foregroundMark x1="31216" y1="82027" x2="32297" y2="81081"/>
                      <a14:foregroundMark x1="28784" y1="80946" x2="28784" y2="80946"/>
                      <a14:foregroundMark x1="31081" y1="80000" x2="31081" y2="80000"/>
                      <a14:foregroundMark x1="33108" y1="81216" x2="33108" y2="81216"/>
                      <a14:foregroundMark x1="34054" y1="81757" x2="34054" y2="81757"/>
                      <a14:foregroundMark x1="33108" y1="85676" x2="33108" y2="85676"/>
                      <a14:foregroundMark x1="32027" y1="87838" x2="32027" y2="87838"/>
                      <a14:foregroundMark x1="30541" y1="88649" x2="30541" y2="88649"/>
                      <a14:foregroundMark x1="33784" y1="87297" x2="33784" y2="87297"/>
                      <a14:foregroundMark x1="34459" y1="84189" x2="34459" y2="84189"/>
                      <a14:foregroundMark x1="34865" y1="82027" x2="34865" y2="82027"/>
                      <a14:foregroundMark x1="35541" y1="84189" x2="35541" y2="84189"/>
                      <a14:foregroundMark x1="35135" y1="85946" x2="35135" y2="85946"/>
                      <a14:foregroundMark x1="8243" y1="90541" x2="8243" y2="90541"/>
                      <a14:foregroundMark x1="8243" y1="92297" x2="8243" y2="92297"/>
                      <a14:foregroundMark x1="9459" y1="93243" x2="9459" y2="93243"/>
                      <a14:foregroundMark x1="9189" y1="93649" x2="9189" y2="93649"/>
                      <a14:foregroundMark x1="7297" y1="95946" x2="7297" y2="95946"/>
                      <a14:foregroundMark x1="9865" y1="96351" x2="9865" y2="96351"/>
                      <a14:foregroundMark x1="11622" y1="95000" x2="11622" y2="95000"/>
                      <a14:foregroundMark x1="12703" y1="97568" x2="12703" y2="97568"/>
                      <a14:foregroundMark x1="12297" y1="98784" x2="12297" y2="98784"/>
                      <a14:foregroundMark x1="12838" y1="82838" x2="12838" y2="82838"/>
                      <a14:foregroundMark x1="17027" y1="80270" x2="17027" y2="80270"/>
                      <a14:foregroundMark x1="19865" y1="79865" x2="19865" y2="79865"/>
                      <a14:foregroundMark x1="14730" y1="88108" x2="14730" y2="88108"/>
                      <a14:foregroundMark x1="14595" y1="87703" x2="14595" y2="87703"/>
                      <a14:foregroundMark x1="30135" y1="70811" x2="30135" y2="70811"/>
                      <a14:foregroundMark x1="31892" y1="70946" x2="31892" y2="70946"/>
                      <a14:foregroundMark x1="37432" y1="54324" x2="37432" y2="54324"/>
                      <a14:foregroundMark x1="36622" y1="56351" x2="37432" y2="60541"/>
                      <a14:foregroundMark x1="36622" y1="61622" x2="36757" y2="65135"/>
                      <a14:foregroundMark x1="47162" y1="69595" x2="47162" y2="69595"/>
                      <a14:foregroundMark x1="46351" y1="68514" x2="46351" y2="68514"/>
                      <a14:foregroundMark x1="48649" y1="70135" x2="48649" y2="70135"/>
                      <a14:foregroundMark x1="49730" y1="72973" x2="49730" y2="72973"/>
                      <a14:foregroundMark x1="50000" y1="75946" x2="50000" y2="75946"/>
                      <a14:foregroundMark x1="46486" y1="78784" x2="48919" y2="71486"/>
                      <a14:foregroundMark x1="49459" y1="76081" x2="49459" y2="76081"/>
                      <a14:foregroundMark x1="49189" y1="77162" x2="49189" y2="77162"/>
                      <a14:foregroundMark x1="27973" y1="6351" x2="35946" y2="10000"/>
                      <a14:foregroundMark x1="33108" y1="4324" x2="33108" y2="4324"/>
                      <a14:foregroundMark x1="36216" y1="8919" x2="36216" y2="8919"/>
                      <a14:foregroundMark x1="29730" y1="3784" x2="29730" y2="3784"/>
                      <a14:foregroundMark x1="41486" y1="30405" x2="40811" y2="31622"/>
                      <a14:foregroundMark x1="50676" y1="40811" x2="51216" y2="43514"/>
                      <a14:foregroundMark x1="41622" y1="52703" x2="41622" y2="52703"/>
                      <a14:backgroundMark x1="41892" y1="46486" x2="41892" y2="46486"/>
                      <a14:backgroundMark x1="43108" y1="47297" x2="43108" y2="47297"/>
                    </a14:backgroundRemoval>
                  </a14:imgEffect>
                </a14:imgLayer>
              </a14:imgProps>
            </a:ext>
            <a:ext uri="{28A0092B-C50C-407E-A947-70E740481C1C}">
              <a14:useLocalDpi xmlns:a14="http://schemas.microsoft.com/office/drawing/2010/main" val="0"/>
            </a:ext>
          </a:extLst>
        </a:blip>
        <a:stretch>
          <a:fillRect/>
        </a:stretch>
      </xdr:blipFill>
      <xdr:spPr>
        <a:xfrm>
          <a:off x="828893" y="494427"/>
          <a:ext cx="1163359" cy="1206986"/>
        </a:xfrm>
        <a:prstGeom prst="rect">
          <a:avLst/>
        </a:prstGeom>
      </xdr:spPr>
    </xdr:pic>
    <xdr:clientData/>
  </xdr:twoCellAnchor>
  <xdr:twoCellAnchor>
    <xdr:from>
      <xdr:col>2</xdr:col>
      <xdr:colOff>145420</xdr:colOff>
      <xdr:row>3</xdr:row>
      <xdr:rowOff>29084</xdr:rowOff>
    </xdr:from>
    <xdr:to>
      <xdr:col>7</xdr:col>
      <xdr:colOff>210858</xdr:colOff>
      <xdr:row>8</xdr:row>
      <xdr:rowOff>36355</xdr:rowOff>
    </xdr:to>
    <xdr:sp macro="" textlink="">
      <xdr:nvSpPr>
        <xdr:cNvPr id="6" name="TextBox 5">
          <a:extLst>
            <a:ext uri="{FF2B5EF4-FFF2-40B4-BE49-F238E27FC236}">
              <a16:creationId xmlns:a16="http://schemas.microsoft.com/office/drawing/2014/main" id="{DC454099-F22B-7506-CF5C-22629BD892B5}"/>
            </a:ext>
          </a:extLst>
        </xdr:cNvPr>
        <xdr:cNvSpPr txBox="1"/>
      </xdr:nvSpPr>
      <xdr:spPr>
        <a:xfrm>
          <a:off x="1366947" y="596221"/>
          <a:ext cx="3119255" cy="952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400" b="1">
              <a:solidFill>
                <a:srgbClr val="FF0000"/>
              </a:solidFill>
              <a:latin typeface="Arial Black" panose="020B0A04020102020204" pitchFamily="34" charset="0"/>
            </a:rPr>
            <a:t>C</a:t>
          </a:r>
          <a:r>
            <a:rPr lang="en-US" sz="4400" b="1">
              <a:solidFill>
                <a:srgbClr val="00B050"/>
              </a:solidFill>
              <a:latin typeface="Arial Black" panose="020B0A04020102020204" pitchFamily="34" charset="0"/>
            </a:rPr>
            <a:t>OV</a:t>
          </a:r>
          <a:r>
            <a:rPr lang="en-US" sz="4400" b="1">
              <a:solidFill>
                <a:srgbClr val="FF0000"/>
              </a:solidFill>
              <a:latin typeface="Arial Black" panose="020B0A04020102020204" pitchFamily="34" charset="0"/>
            </a:rPr>
            <a:t>ID-19</a:t>
          </a:r>
        </a:p>
      </xdr:txBody>
    </xdr:sp>
    <xdr:clientData/>
  </xdr:twoCellAnchor>
  <xdr:twoCellAnchor>
    <xdr:from>
      <xdr:col>7</xdr:col>
      <xdr:colOff>465897</xdr:colOff>
      <xdr:row>3</xdr:row>
      <xdr:rowOff>82827</xdr:rowOff>
    </xdr:from>
    <xdr:to>
      <xdr:col>10</xdr:col>
      <xdr:colOff>331305</xdr:colOff>
      <xdr:row>8</xdr:row>
      <xdr:rowOff>20707</xdr:rowOff>
    </xdr:to>
    <xdr:sp macro="" textlink="">
      <xdr:nvSpPr>
        <xdr:cNvPr id="7" name="Rectangle: Rounded Corners 6">
          <a:extLst>
            <a:ext uri="{FF2B5EF4-FFF2-40B4-BE49-F238E27FC236}">
              <a16:creationId xmlns:a16="http://schemas.microsoft.com/office/drawing/2014/main" id="{ED20529A-A74D-FC28-5BB4-E807FD8B2395}"/>
            </a:ext>
          </a:extLst>
        </xdr:cNvPr>
        <xdr:cNvSpPr/>
      </xdr:nvSpPr>
      <xdr:spPr>
        <a:xfrm>
          <a:off x="4741794" y="641903"/>
          <a:ext cx="1697935" cy="869674"/>
        </a:xfrm>
        <a:prstGeom prst="roundRect">
          <a:avLst/>
        </a:prstGeom>
        <a:solidFill>
          <a:schemeClr val="tx1">
            <a:lumMod val="50000"/>
            <a:lumOff val="5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597589</xdr:colOff>
      <xdr:row>3</xdr:row>
      <xdr:rowOff>69574</xdr:rowOff>
    </xdr:from>
    <xdr:to>
      <xdr:col>13</xdr:col>
      <xdr:colOff>462997</xdr:colOff>
      <xdr:row>8</xdr:row>
      <xdr:rowOff>7454</xdr:rowOff>
    </xdr:to>
    <xdr:sp macro="" textlink="">
      <xdr:nvSpPr>
        <xdr:cNvPr id="8" name="Rectangle: Rounded Corners 7">
          <a:extLst>
            <a:ext uri="{FF2B5EF4-FFF2-40B4-BE49-F238E27FC236}">
              <a16:creationId xmlns:a16="http://schemas.microsoft.com/office/drawing/2014/main" id="{113967CD-F00D-4071-9436-E0FDCE6CB95A}"/>
            </a:ext>
          </a:extLst>
        </xdr:cNvPr>
        <xdr:cNvSpPr/>
      </xdr:nvSpPr>
      <xdr:spPr>
        <a:xfrm>
          <a:off x="6706013" y="628650"/>
          <a:ext cx="1697935" cy="869674"/>
        </a:xfrm>
        <a:prstGeom prst="roundRect">
          <a:avLst/>
        </a:prstGeom>
        <a:solidFill>
          <a:schemeClr val="tx1">
            <a:lumMod val="50000"/>
            <a:lumOff val="5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139148</xdr:colOff>
      <xdr:row>3</xdr:row>
      <xdr:rowOff>66675</xdr:rowOff>
    </xdr:from>
    <xdr:to>
      <xdr:col>17</xdr:col>
      <xdr:colOff>4555</xdr:colOff>
      <xdr:row>8</xdr:row>
      <xdr:rowOff>4555</xdr:rowOff>
    </xdr:to>
    <xdr:sp macro="" textlink="">
      <xdr:nvSpPr>
        <xdr:cNvPr id="9" name="Rectangle: Rounded Corners 8">
          <a:extLst>
            <a:ext uri="{FF2B5EF4-FFF2-40B4-BE49-F238E27FC236}">
              <a16:creationId xmlns:a16="http://schemas.microsoft.com/office/drawing/2014/main" id="{2B8023E2-19A3-4E7C-8B0B-79F9629F086D}"/>
            </a:ext>
          </a:extLst>
        </xdr:cNvPr>
        <xdr:cNvSpPr/>
      </xdr:nvSpPr>
      <xdr:spPr>
        <a:xfrm>
          <a:off x="8690941" y="625751"/>
          <a:ext cx="1697935" cy="869674"/>
        </a:xfrm>
        <a:prstGeom prst="roundRect">
          <a:avLst/>
        </a:prstGeom>
        <a:solidFill>
          <a:schemeClr val="tx1">
            <a:lumMod val="50000"/>
            <a:lumOff val="5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291548</xdr:colOff>
      <xdr:row>3</xdr:row>
      <xdr:rowOff>53422</xdr:rowOff>
    </xdr:from>
    <xdr:to>
      <xdr:col>20</xdr:col>
      <xdr:colOff>156956</xdr:colOff>
      <xdr:row>7</xdr:row>
      <xdr:rowOff>177661</xdr:rowOff>
    </xdr:to>
    <xdr:sp macro="" textlink="">
      <xdr:nvSpPr>
        <xdr:cNvPr id="10" name="Rectangle: Rounded Corners 9">
          <a:extLst>
            <a:ext uri="{FF2B5EF4-FFF2-40B4-BE49-F238E27FC236}">
              <a16:creationId xmlns:a16="http://schemas.microsoft.com/office/drawing/2014/main" id="{EE2D07E5-9734-4684-BEE7-639EEF45A540}"/>
            </a:ext>
          </a:extLst>
        </xdr:cNvPr>
        <xdr:cNvSpPr/>
      </xdr:nvSpPr>
      <xdr:spPr>
        <a:xfrm>
          <a:off x="10675869" y="612498"/>
          <a:ext cx="1697935" cy="869674"/>
        </a:xfrm>
        <a:prstGeom prst="roundRect">
          <a:avLst/>
        </a:prstGeom>
        <a:solidFill>
          <a:schemeClr val="tx1">
            <a:lumMod val="50000"/>
            <a:lumOff val="5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19</xdr:col>
      <xdr:colOff>414763</xdr:colOff>
      <xdr:row>2</xdr:row>
      <xdr:rowOff>80297</xdr:rowOff>
    </xdr:from>
    <xdr:to>
      <xdr:col>21</xdr:col>
      <xdr:colOff>356595</xdr:colOff>
      <xdr:row>8</xdr:row>
      <xdr:rowOff>150321</xdr:rowOff>
    </xdr:to>
    <xdr:pic>
      <xdr:nvPicPr>
        <xdr:cNvPr id="11" name="Picture 10">
          <a:extLst>
            <a:ext uri="{FF2B5EF4-FFF2-40B4-BE49-F238E27FC236}">
              <a16:creationId xmlns:a16="http://schemas.microsoft.com/office/drawing/2014/main" id="{BEA702A1-C462-4679-A700-FD9031FA6282}"/>
            </a:ext>
          </a:extLst>
        </xdr:cNvPr>
        <xdr:cNvPicPr>
          <a:picLocks noChangeAspect="1"/>
        </xdr:cNvPicPr>
      </xdr:nvPicPr>
      <xdr:blipFill>
        <a:blip xmlns:r="http://schemas.openxmlformats.org/officeDocument/2006/relationships" r:embed="rId3" cstate="print">
          <a:extLst>
            <a:ext uri="{BEBA8EAE-BF5A-486C-A8C5-ECC9F3942E4B}">
              <a14:imgProps xmlns:a14="http://schemas.microsoft.com/office/drawing/2010/main">
                <a14:imgLayer r:embed="rId4">
                  <a14:imgEffect>
                    <a14:backgroundRemoval t="1892" b="98784" l="946" r="90000">
                      <a14:foregroundMark x1="541" y1="13514" x2="16351" y2="17162"/>
                      <a14:foregroundMark x1="16351" y1="17162" x2="37162" y2="37973"/>
                      <a14:foregroundMark x1="37162" y1="37973" x2="37027" y2="52162"/>
                      <a14:foregroundMark x1="37027" y1="52162" x2="27432" y2="69324"/>
                      <a14:foregroundMark x1="27432" y1="69324" x2="10811" y2="80946"/>
                      <a14:foregroundMark x1="10811" y1="80946" x2="1486" y2="81757"/>
                      <a14:foregroundMark x1="30676" y1="8919" x2="30676" y2="8919"/>
                      <a14:foregroundMark x1="4595" y1="2027" x2="4595" y2="10946"/>
                      <a14:foregroundMark x1="33514" y1="7162" x2="33514" y2="7162"/>
                      <a14:foregroundMark x1="30405" y1="4865" x2="34730" y2="9459"/>
                      <a14:foregroundMark x1="42432" y1="30946" x2="45676" y2="35000"/>
                      <a14:foregroundMark x1="33919" y1="6622" x2="35000" y2="9189"/>
                      <a14:foregroundMark x1="43649" y1="30135" x2="45946" y2="37568"/>
                      <a14:foregroundMark x1="43649" y1="28919" x2="45946" y2="28378"/>
                      <a14:foregroundMark x1="46486" y1="32973" x2="48243" y2="35541"/>
                      <a14:foregroundMark x1="49595" y1="40405" x2="46486" y2="34189"/>
                      <a14:foregroundMark x1="39324" y1="51622" x2="39324" y2="52162"/>
                      <a14:foregroundMark x1="51081" y1="56757" x2="50270" y2="53108"/>
                      <a14:foregroundMark x1="50270" y1="55676" x2="47973" y2="57027"/>
                      <a14:foregroundMark x1="49054" y1="58514" x2="47973" y2="57027"/>
                      <a14:foregroundMark x1="27838" y1="79865" x2="27162" y2="80811"/>
                      <a14:foregroundMark x1="30676" y1="83784" x2="29189" y2="85541"/>
                      <a14:foregroundMark x1="31216" y1="82027" x2="32297" y2="81081"/>
                      <a14:foregroundMark x1="28784" y1="80946" x2="28784" y2="80946"/>
                      <a14:foregroundMark x1="31081" y1="80000" x2="31081" y2="80000"/>
                      <a14:foregroundMark x1="33108" y1="81216" x2="33108" y2="81216"/>
                      <a14:foregroundMark x1="34054" y1="81757" x2="34054" y2="81757"/>
                      <a14:foregroundMark x1="33108" y1="85676" x2="33108" y2="85676"/>
                      <a14:foregroundMark x1="32027" y1="87838" x2="32027" y2="87838"/>
                      <a14:foregroundMark x1="30541" y1="88649" x2="30541" y2="88649"/>
                      <a14:foregroundMark x1="33784" y1="87297" x2="33784" y2="87297"/>
                      <a14:foregroundMark x1="34459" y1="84189" x2="34459" y2="84189"/>
                      <a14:foregroundMark x1="34865" y1="82027" x2="34865" y2="82027"/>
                      <a14:foregroundMark x1="35541" y1="84189" x2="35541" y2="84189"/>
                      <a14:foregroundMark x1="35135" y1="85946" x2="35135" y2="85946"/>
                      <a14:foregroundMark x1="8243" y1="90541" x2="8243" y2="90541"/>
                      <a14:foregroundMark x1="8243" y1="92297" x2="8243" y2="92297"/>
                      <a14:foregroundMark x1="9459" y1="93243" x2="9459" y2="93243"/>
                      <a14:foregroundMark x1="9189" y1="93649" x2="9189" y2="93649"/>
                      <a14:foregroundMark x1="7297" y1="95946" x2="7297" y2="95946"/>
                      <a14:foregroundMark x1="9865" y1="96351" x2="9865" y2="96351"/>
                      <a14:foregroundMark x1="11622" y1="95000" x2="11622" y2="95000"/>
                      <a14:foregroundMark x1="12703" y1="97568" x2="12703" y2="97568"/>
                      <a14:foregroundMark x1="12297" y1="98784" x2="12297" y2="98784"/>
                      <a14:foregroundMark x1="12838" y1="82838" x2="12838" y2="82838"/>
                      <a14:foregroundMark x1="17027" y1="80270" x2="17027" y2="80270"/>
                      <a14:foregroundMark x1="19865" y1="79865" x2="19865" y2="79865"/>
                      <a14:foregroundMark x1="14730" y1="88108" x2="14730" y2="88108"/>
                      <a14:foregroundMark x1="14595" y1="87703" x2="14595" y2="87703"/>
                      <a14:foregroundMark x1="30135" y1="70811" x2="30135" y2="70811"/>
                      <a14:foregroundMark x1="31892" y1="70946" x2="31892" y2="70946"/>
                      <a14:foregroundMark x1="37432" y1="54324" x2="37432" y2="54324"/>
                      <a14:foregroundMark x1="36622" y1="56351" x2="37432" y2="60541"/>
                      <a14:foregroundMark x1="36622" y1="61622" x2="36757" y2="65135"/>
                      <a14:foregroundMark x1="47162" y1="69595" x2="47162" y2="69595"/>
                      <a14:foregroundMark x1="46351" y1="68514" x2="46351" y2="68514"/>
                      <a14:foregroundMark x1="48649" y1="70135" x2="48649" y2="70135"/>
                      <a14:foregroundMark x1="49730" y1="72973" x2="49730" y2="72973"/>
                      <a14:foregroundMark x1="50000" y1="75946" x2="50000" y2="75946"/>
                      <a14:foregroundMark x1="46486" y1="78784" x2="48919" y2="71486"/>
                      <a14:foregroundMark x1="49459" y1="76081" x2="49459" y2="76081"/>
                      <a14:foregroundMark x1="49189" y1="77162" x2="49189" y2="77162"/>
                      <a14:foregroundMark x1="27973" y1="6351" x2="35946" y2="10000"/>
                      <a14:foregroundMark x1="33108" y1="4324" x2="33108" y2="4324"/>
                      <a14:foregroundMark x1="36216" y1="8919" x2="36216" y2="8919"/>
                      <a14:foregroundMark x1="29730" y1="3784" x2="29730" y2="3784"/>
                      <a14:foregroundMark x1="41486" y1="30405" x2="40811" y2="31622"/>
                      <a14:foregroundMark x1="50676" y1="40811" x2="51216" y2="43514"/>
                      <a14:foregroundMark x1="41622" y1="52703" x2="41622" y2="52703"/>
                      <a14:backgroundMark x1="41892" y1="46486" x2="41892" y2="46486"/>
                      <a14:backgroundMark x1="43108" y1="47297" x2="43108" y2="47297"/>
                    </a14:backgroundRemoval>
                  </a14:imgEffect>
                </a14:imgLayer>
              </a14:imgProps>
            </a:ext>
            <a:ext uri="{28A0092B-C50C-407E-A947-70E740481C1C}">
              <a14:useLocalDpi xmlns:a14="http://schemas.microsoft.com/office/drawing/2010/main" val="0"/>
            </a:ext>
          </a:extLst>
        </a:blip>
        <a:stretch>
          <a:fillRect/>
        </a:stretch>
      </xdr:blipFill>
      <xdr:spPr>
        <a:xfrm rot="10800000">
          <a:off x="12020768" y="453014"/>
          <a:ext cx="1163517" cy="1188177"/>
        </a:xfrm>
        <a:prstGeom prst="rect">
          <a:avLst/>
        </a:prstGeom>
      </xdr:spPr>
    </xdr:pic>
    <xdr:clientData/>
  </xdr:twoCellAnchor>
  <xdr:twoCellAnchor>
    <xdr:from>
      <xdr:col>9</xdr:col>
      <xdr:colOff>279538</xdr:colOff>
      <xdr:row>6</xdr:row>
      <xdr:rowOff>31060</xdr:rowOff>
    </xdr:from>
    <xdr:to>
      <xdr:col>10</xdr:col>
      <xdr:colOff>424486</xdr:colOff>
      <xdr:row>8</xdr:row>
      <xdr:rowOff>103532</xdr:rowOff>
    </xdr:to>
    <xdr:sp macro="" textlink="'pivot table'!A6">
      <xdr:nvSpPr>
        <xdr:cNvPr id="12" name="TextBox 11">
          <a:extLst>
            <a:ext uri="{FF2B5EF4-FFF2-40B4-BE49-F238E27FC236}">
              <a16:creationId xmlns:a16="http://schemas.microsoft.com/office/drawing/2014/main" id="{16DA61EE-3327-74F8-81E7-86E91C539B01}"/>
            </a:ext>
          </a:extLst>
        </xdr:cNvPr>
        <xdr:cNvSpPr txBox="1"/>
      </xdr:nvSpPr>
      <xdr:spPr>
        <a:xfrm>
          <a:off x="5777120" y="1149212"/>
          <a:ext cx="755790" cy="4451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37690EE-F167-4B3D-811A-9ED2B78BE537}" type="TxLink">
            <a:rPr lang="en-US" sz="1600" b="1" i="0" u="none" strike="noStrike">
              <a:solidFill>
                <a:srgbClr val="000000"/>
              </a:solidFill>
              <a:latin typeface="Aptos" panose="020B0004020202020204" pitchFamily="34" charset="0"/>
            </a:rPr>
            <a:t>654k</a:t>
          </a:fld>
          <a:endParaRPr lang="en-US" sz="1600" b="1">
            <a:latin typeface="Aptos" panose="020B0004020202020204" pitchFamily="34" charset="0"/>
          </a:endParaRPr>
        </a:p>
      </xdr:txBody>
    </xdr:sp>
    <xdr:clientData/>
  </xdr:twoCellAnchor>
  <xdr:twoCellAnchor>
    <xdr:from>
      <xdr:col>19</xdr:col>
      <xdr:colOff>255935</xdr:colOff>
      <xdr:row>5</xdr:row>
      <xdr:rowOff>183460</xdr:rowOff>
    </xdr:from>
    <xdr:to>
      <xdr:col>20</xdr:col>
      <xdr:colOff>318054</xdr:colOff>
      <xdr:row>7</xdr:row>
      <xdr:rowOff>173106</xdr:rowOff>
    </xdr:to>
    <xdr:sp macro="" textlink="'pivot table'!D6">
      <xdr:nvSpPr>
        <xdr:cNvPr id="13" name="TextBox 12">
          <a:extLst>
            <a:ext uri="{FF2B5EF4-FFF2-40B4-BE49-F238E27FC236}">
              <a16:creationId xmlns:a16="http://schemas.microsoft.com/office/drawing/2014/main" id="{6AB27A10-3438-4E7A-8CC1-5C9D48393E1C}"/>
            </a:ext>
          </a:extLst>
        </xdr:cNvPr>
        <xdr:cNvSpPr txBox="1"/>
      </xdr:nvSpPr>
      <xdr:spPr>
        <a:xfrm>
          <a:off x="11861940" y="1115253"/>
          <a:ext cx="672962" cy="3623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C5AC6863-9231-437D-82FE-EFEFF52D275D}" type="TxLink">
            <a:rPr lang="en-US" sz="1600" b="1" i="0" u="none" strike="noStrike">
              <a:solidFill>
                <a:srgbClr val="000000"/>
              </a:solidFill>
              <a:latin typeface="Aptos" panose="020B0004020202020204" pitchFamily="34" charset="0"/>
              <a:ea typeface="+mn-ea"/>
              <a:cs typeface="+mn-cs"/>
            </a:rPr>
            <a:pPr marL="0" indent="0"/>
            <a:t>2M</a:t>
          </a:fld>
          <a:endParaRPr lang="en-US" sz="1600" b="1" i="0" u="none" strike="noStrike">
            <a:solidFill>
              <a:srgbClr val="000000"/>
            </a:solidFill>
            <a:latin typeface="Aptos" panose="020B0004020202020204" pitchFamily="34" charset="0"/>
            <a:ea typeface="+mn-ea"/>
            <a:cs typeface="+mn-cs"/>
          </a:endParaRPr>
        </a:p>
      </xdr:txBody>
    </xdr:sp>
    <xdr:clientData/>
  </xdr:twoCellAnchor>
  <xdr:twoCellAnchor>
    <xdr:from>
      <xdr:col>16</xdr:col>
      <xdr:colOff>45971</xdr:colOff>
      <xdr:row>6</xdr:row>
      <xdr:rowOff>25263</xdr:rowOff>
    </xdr:from>
    <xdr:to>
      <xdr:col>17</xdr:col>
      <xdr:colOff>108090</xdr:colOff>
      <xdr:row>8</xdr:row>
      <xdr:rowOff>14909</xdr:rowOff>
    </xdr:to>
    <xdr:sp macro="" textlink="'pivot table'!C6">
      <xdr:nvSpPr>
        <xdr:cNvPr id="14" name="TextBox 13">
          <a:extLst>
            <a:ext uri="{FF2B5EF4-FFF2-40B4-BE49-F238E27FC236}">
              <a16:creationId xmlns:a16="http://schemas.microsoft.com/office/drawing/2014/main" id="{E367E48B-62F7-41D1-858F-9662B74D13EB}"/>
            </a:ext>
          </a:extLst>
        </xdr:cNvPr>
        <xdr:cNvSpPr txBox="1"/>
      </xdr:nvSpPr>
      <xdr:spPr>
        <a:xfrm>
          <a:off x="9819449" y="1143415"/>
          <a:ext cx="672962" cy="3623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9A38DB26-D059-4D6D-BF5C-C92B8DD59819}" type="TxLink">
            <a:rPr lang="en-US" sz="1600" b="1" i="0" u="none" strike="noStrike">
              <a:solidFill>
                <a:srgbClr val="000000"/>
              </a:solidFill>
              <a:latin typeface="Aptos" panose="020B0004020202020204" pitchFamily="34" charset="0"/>
              <a:ea typeface="+mn-ea"/>
              <a:cs typeface="+mn-cs"/>
            </a:rPr>
            <a:pPr marL="0" indent="0"/>
            <a:t>6M</a:t>
          </a:fld>
          <a:endParaRPr lang="en-US" sz="1600" b="1" i="0" u="none" strike="noStrike">
            <a:solidFill>
              <a:srgbClr val="000000"/>
            </a:solidFill>
            <a:latin typeface="Aptos" panose="020B0004020202020204" pitchFamily="34" charset="0"/>
            <a:ea typeface="+mn-ea"/>
            <a:cs typeface="+mn-cs"/>
          </a:endParaRPr>
        </a:p>
      </xdr:txBody>
    </xdr:sp>
    <xdr:clientData/>
  </xdr:twoCellAnchor>
  <xdr:twoCellAnchor>
    <xdr:from>
      <xdr:col>12</xdr:col>
      <xdr:colOff>540027</xdr:colOff>
      <xdr:row>6</xdr:row>
      <xdr:rowOff>43071</xdr:rowOff>
    </xdr:from>
    <xdr:to>
      <xdr:col>13</xdr:col>
      <xdr:colOff>602147</xdr:colOff>
      <xdr:row>8</xdr:row>
      <xdr:rowOff>32717</xdr:rowOff>
    </xdr:to>
    <xdr:sp macro="" textlink="'pivot table'!B6">
      <xdr:nvSpPr>
        <xdr:cNvPr id="15" name="TextBox 14">
          <a:extLst>
            <a:ext uri="{FF2B5EF4-FFF2-40B4-BE49-F238E27FC236}">
              <a16:creationId xmlns:a16="http://schemas.microsoft.com/office/drawing/2014/main" id="{2A2DE9FB-50A8-4309-B4DD-163B6A9D8C70}"/>
            </a:ext>
          </a:extLst>
        </xdr:cNvPr>
        <xdr:cNvSpPr txBox="1"/>
      </xdr:nvSpPr>
      <xdr:spPr>
        <a:xfrm>
          <a:off x="7870136" y="1161223"/>
          <a:ext cx="672962" cy="3623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50866C5-9E92-409F-8ECF-19F2EE4F85EB}" type="TxLink">
            <a:rPr lang="en-US" sz="1600" b="1" i="0" u="none" strike="noStrike">
              <a:solidFill>
                <a:srgbClr val="000000"/>
              </a:solidFill>
              <a:latin typeface="Aptos" panose="020B0004020202020204" pitchFamily="34" charset="0"/>
              <a:ea typeface="+mn-ea"/>
              <a:cs typeface="+mn-cs"/>
            </a:rPr>
            <a:pPr marL="0" indent="0"/>
            <a:t>9M</a:t>
          </a:fld>
          <a:endParaRPr lang="en-US" sz="1600" b="1" i="0" u="none" strike="noStrike">
            <a:solidFill>
              <a:srgbClr val="000000"/>
            </a:solidFill>
            <a:latin typeface="Aptos" panose="020B0004020202020204" pitchFamily="34" charset="0"/>
            <a:ea typeface="+mn-ea"/>
            <a:cs typeface="+mn-cs"/>
          </a:endParaRPr>
        </a:p>
      </xdr:txBody>
    </xdr:sp>
    <xdr:clientData/>
  </xdr:twoCellAnchor>
  <xdr:twoCellAnchor>
    <xdr:from>
      <xdr:col>14</xdr:col>
      <xdr:colOff>144947</xdr:colOff>
      <xdr:row>3</xdr:row>
      <xdr:rowOff>93179</xdr:rowOff>
    </xdr:from>
    <xdr:to>
      <xdr:col>16</xdr:col>
      <xdr:colOff>82827</xdr:colOff>
      <xdr:row>5</xdr:row>
      <xdr:rowOff>20707</xdr:rowOff>
    </xdr:to>
    <xdr:sp macro="" textlink="">
      <xdr:nvSpPr>
        <xdr:cNvPr id="16" name="TextBox 15">
          <a:extLst>
            <a:ext uri="{FF2B5EF4-FFF2-40B4-BE49-F238E27FC236}">
              <a16:creationId xmlns:a16="http://schemas.microsoft.com/office/drawing/2014/main" id="{C10DE6D4-43B7-5A8A-46FC-EB9BB1F3BE01}"/>
            </a:ext>
          </a:extLst>
        </xdr:cNvPr>
        <xdr:cNvSpPr txBox="1"/>
      </xdr:nvSpPr>
      <xdr:spPr>
        <a:xfrm>
          <a:off x="8696740" y="652255"/>
          <a:ext cx="1159565" cy="3002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TOTAL</a:t>
          </a:r>
          <a:r>
            <a:rPr lang="en-US" sz="1100" b="1" baseline="0"/>
            <a:t>  ACTIVE</a:t>
          </a:r>
          <a:endParaRPr lang="en-US" sz="1100" b="1"/>
        </a:p>
      </xdr:txBody>
    </xdr:sp>
    <xdr:clientData/>
  </xdr:twoCellAnchor>
  <xdr:twoCellAnchor>
    <xdr:from>
      <xdr:col>10</xdr:col>
      <xdr:colOff>607944</xdr:colOff>
      <xdr:row>3</xdr:row>
      <xdr:rowOff>110987</xdr:rowOff>
    </xdr:from>
    <xdr:to>
      <xdr:col>13</xdr:col>
      <xdr:colOff>144945</xdr:colOff>
      <xdr:row>5</xdr:row>
      <xdr:rowOff>38515</xdr:rowOff>
    </xdr:to>
    <xdr:sp macro="" textlink="">
      <xdr:nvSpPr>
        <xdr:cNvPr id="21" name="TextBox 20">
          <a:extLst>
            <a:ext uri="{FF2B5EF4-FFF2-40B4-BE49-F238E27FC236}">
              <a16:creationId xmlns:a16="http://schemas.microsoft.com/office/drawing/2014/main" id="{EDC53C95-937A-4991-8E35-15357EDC02AE}"/>
            </a:ext>
          </a:extLst>
        </xdr:cNvPr>
        <xdr:cNvSpPr txBox="1"/>
      </xdr:nvSpPr>
      <xdr:spPr>
        <a:xfrm>
          <a:off x="6716368" y="670063"/>
          <a:ext cx="1369528" cy="3002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TOTAL </a:t>
          </a:r>
          <a:r>
            <a:rPr lang="en-US" sz="1100" b="1" baseline="0"/>
            <a:t> RECOVERED</a:t>
          </a:r>
          <a:endParaRPr lang="en-US" sz="1100" b="1"/>
        </a:p>
      </xdr:txBody>
    </xdr:sp>
    <xdr:clientData/>
  </xdr:twoCellAnchor>
  <xdr:twoCellAnchor>
    <xdr:from>
      <xdr:col>17</xdr:col>
      <xdr:colOff>273741</xdr:colOff>
      <xdr:row>3</xdr:row>
      <xdr:rowOff>87381</xdr:rowOff>
    </xdr:from>
    <xdr:to>
      <xdr:col>19</xdr:col>
      <xdr:colOff>579784</xdr:colOff>
      <xdr:row>5</xdr:row>
      <xdr:rowOff>14909</xdr:rowOff>
    </xdr:to>
    <xdr:sp macro="" textlink="">
      <xdr:nvSpPr>
        <xdr:cNvPr id="22" name="TextBox 21">
          <a:extLst>
            <a:ext uri="{FF2B5EF4-FFF2-40B4-BE49-F238E27FC236}">
              <a16:creationId xmlns:a16="http://schemas.microsoft.com/office/drawing/2014/main" id="{3FD4FDBC-50EC-48AA-9E2C-3645FA203C51}"/>
            </a:ext>
          </a:extLst>
        </xdr:cNvPr>
        <xdr:cNvSpPr txBox="1"/>
      </xdr:nvSpPr>
      <xdr:spPr>
        <a:xfrm>
          <a:off x="10658062" y="646457"/>
          <a:ext cx="1527727" cy="3002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ONE</a:t>
          </a:r>
          <a:r>
            <a:rPr lang="en-US" sz="1100" b="1" baseline="0"/>
            <a:t> WEEK'S CHANGES</a:t>
          </a:r>
          <a:endParaRPr lang="en-US" sz="1100" b="1"/>
        </a:p>
      </xdr:txBody>
    </xdr:sp>
    <xdr:clientData/>
  </xdr:twoCellAnchor>
  <xdr:twoCellAnchor>
    <xdr:from>
      <xdr:col>7</xdr:col>
      <xdr:colOff>477907</xdr:colOff>
      <xdr:row>3</xdr:row>
      <xdr:rowOff>146603</xdr:rowOff>
    </xdr:from>
    <xdr:to>
      <xdr:col>9</xdr:col>
      <xdr:colOff>415787</xdr:colOff>
      <xdr:row>5</xdr:row>
      <xdr:rowOff>74131</xdr:rowOff>
    </xdr:to>
    <xdr:sp macro="" textlink="">
      <xdr:nvSpPr>
        <xdr:cNvPr id="23" name="TextBox 22">
          <a:extLst>
            <a:ext uri="{FF2B5EF4-FFF2-40B4-BE49-F238E27FC236}">
              <a16:creationId xmlns:a16="http://schemas.microsoft.com/office/drawing/2014/main" id="{AFC15266-1838-4E06-93C6-E301DBE250D7}"/>
            </a:ext>
          </a:extLst>
        </xdr:cNvPr>
        <xdr:cNvSpPr txBox="1"/>
      </xdr:nvSpPr>
      <xdr:spPr>
        <a:xfrm>
          <a:off x="4753804" y="705679"/>
          <a:ext cx="1159565" cy="3002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TOTAL  DEATH'S</a:t>
          </a:r>
        </a:p>
      </xdr:txBody>
    </xdr:sp>
    <xdr:clientData/>
  </xdr:twoCellAnchor>
  <xdr:twoCellAnchor editAs="oneCell">
    <xdr:from>
      <xdr:col>7</xdr:col>
      <xdr:colOff>465895</xdr:colOff>
      <xdr:row>4</xdr:row>
      <xdr:rowOff>155299</xdr:rowOff>
    </xdr:from>
    <xdr:to>
      <xdr:col>9</xdr:col>
      <xdr:colOff>103093</xdr:colOff>
      <xdr:row>8</xdr:row>
      <xdr:rowOff>31059</xdr:rowOff>
    </xdr:to>
    <xdr:pic>
      <xdr:nvPicPr>
        <xdr:cNvPr id="25" name="Picture 24">
          <a:extLst>
            <a:ext uri="{FF2B5EF4-FFF2-40B4-BE49-F238E27FC236}">
              <a16:creationId xmlns:a16="http://schemas.microsoft.com/office/drawing/2014/main" id="{488A2B4F-4447-22A0-F294-C02F48FC21E4}"/>
            </a:ext>
          </a:extLst>
        </xdr:cNvPr>
        <xdr:cNvPicPr>
          <a:picLocks noChangeAspect="1"/>
        </xdr:cNvPicPr>
      </xdr:nvPicPr>
      <xdr:blipFill>
        <a:blip xmlns:r="http://schemas.openxmlformats.org/officeDocument/2006/relationships" r:embed="rId5" cstate="print">
          <a:extLst>
            <a:ext uri="{BEBA8EAE-BF5A-486C-A8C5-ECC9F3942E4B}">
              <a14:imgProps xmlns:a14="http://schemas.microsoft.com/office/drawing/2010/main">
                <a14:imgLayer r:embed="rId6">
                  <a14:imgEffect>
                    <a14:backgroundRemoval t="10000" b="90000" l="10000" r="90000">
                      <a14:foregroundMark x1="36889" y1="55556" x2="57778" y2="67111"/>
                      <a14:foregroundMark x1="57778" y1="67111" x2="62222" y2="72000"/>
                      <a14:foregroundMark x1="49333" y1="52000" x2="49333" y2="52000"/>
                    </a14:backgroundRemoval>
                  </a14:imgEffect>
                </a14:imgLayer>
              </a14:imgProps>
            </a:ext>
            <a:ext uri="{28A0092B-C50C-407E-A947-70E740481C1C}">
              <a14:useLocalDpi xmlns:a14="http://schemas.microsoft.com/office/drawing/2010/main" val="0"/>
            </a:ext>
          </a:extLst>
        </a:blip>
        <a:stretch>
          <a:fillRect/>
        </a:stretch>
      </xdr:blipFill>
      <xdr:spPr>
        <a:xfrm>
          <a:off x="4741792" y="900734"/>
          <a:ext cx="858883" cy="621195"/>
        </a:xfrm>
        <a:prstGeom prst="rect">
          <a:avLst/>
        </a:prstGeom>
      </xdr:spPr>
    </xdr:pic>
    <xdr:clientData/>
  </xdr:twoCellAnchor>
  <xdr:twoCellAnchor editAs="oneCell">
    <xdr:from>
      <xdr:col>11</xdr:col>
      <xdr:colOff>248479</xdr:colOff>
      <xdr:row>5</xdr:row>
      <xdr:rowOff>115815</xdr:rowOff>
    </xdr:from>
    <xdr:to>
      <xdr:col>12</xdr:col>
      <xdr:colOff>149794</xdr:colOff>
      <xdr:row>7</xdr:row>
      <xdr:rowOff>124240</xdr:rowOff>
    </xdr:to>
    <xdr:pic>
      <xdr:nvPicPr>
        <xdr:cNvPr id="27" name="Graphic 26">
          <a:extLst>
            <a:ext uri="{FF2B5EF4-FFF2-40B4-BE49-F238E27FC236}">
              <a16:creationId xmlns:a16="http://schemas.microsoft.com/office/drawing/2014/main" id="{5EAA49A9-4F75-7C3F-94E2-8234C888F63C}"/>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967745" y="1047608"/>
          <a:ext cx="512158" cy="381143"/>
        </a:xfrm>
        <a:prstGeom prst="rect">
          <a:avLst/>
        </a:prstGeom>
      </xdr:spPr>
    </xdr:pic>
    <xdr:clientData/>
  </xdr:twoCellAnchor>
  <xdr:twoCellAnchor editAs="oneCell">
    <xdr:from>
      <xdr:col>14</xdr:col>
      <xdr:colOff>362364</xdr:colOff>
      <xdr:row>4</xdr:row>
      <xdr:rowOff>124239</xdr:rowOff>
    </xdr:from>
    <xdr:to>
      <xdr:col>15</xdr:col>
      <xdr:colOff>79924</xdr:colOff>
      <xdr:row>7</xdr:row>
      <xdr:rowOff>160059</xdr:rowOff>
    </xdr:to>
    <xdr:pic>
      <xdr:nvPicPr>
        <xdr:cNvPr id="33" name="Picture 32">
          <a:extLst>
            <a:ext uri="{FF2B5EF4-FFF2-40B4-BE49-F238E27FC236}">
              <a16:creationId xmlns:a16="http://schemas.microsoft.com/office/drawing/2014/main" id="{8B91098A-5C90-09B6-63E8-96B7F56EAA1E}"/>
            </a:ext>
          </a:extLst>
        </xdr:cNvPr>
        <xdr:cNvPicPr>
          <a:picLocks noChangeAspect="1"/>
        </xdr:cNvPicPr>
      </xdr:nvPicPr>
      <xdr:blipFill>
        <a:blip xmlns:r="http://schemas.openxmlformats.org/officeDocument/2006/relationships" r:embed="rId9" cstate="print">
          <a:extLst>
            <a:ext uri="{BEBA8EAE-BF5A-486C-A8C5-ECC9F3942E4B}">
              <a14:imgProps xmlns:a14="http://schemas.microsoft.com/office/drawing/2010/main">
                <a14:imgLayer r:embed="rId10">
                  <a14:imgEffect>
                    <a14:backgroundRemoval t="10000" b="90000" l="6071" r="90833">
                      <a14:foregroundMark x1="6190" y1="82547" x2="17024" y2="60094"/>
                      <a14:foregroundMark x1="17024" y1="60094" x2="65119" y2="48113"/>
                      <a14:foregroundMark x1="65119" y1="48113" x2="73095" y2="24340"/>
                      <a14:foregroundMark x1="73095" y1="24340" x2="55595" y2="10000"/>
                      <a14:foregroundMark x1="55595" y1="10000" x2="29286" y2="15000"/>
                      <a14:foregroundMark x1="29286" y1="15000" x2="21786" y2="32830"/>
                      <a14:foregroundMark x1="21786" y1="32830" x2="37024" y2="49057"/>
                      <a14:foregroundMark x1="37024" y1="49057" x2="74048" y2="57453"/>
                      <a14:foregroundMark x1="52262" y1="87358" x2="75238" y2="83962"/>
                      <a14:foregroundMark x1="75238" y1="83962" x2="90833" y2="77358"/>
                    </a14:backgroundRemoval>
                  </a14:imgEffect>
                </a14:imgLayer>
              </a14:imgProps>
            </a:ext>
            <a:ext uri="{28A0092B-C50C-407E-A947-70E740481C1C}">
              <a14:useLocalDpi xmlns:a14="http://schemas.microsoft.com/office/drawing/2010/main" val="0"/>
            </a:ext>
          </a:extLst>
        </a:blip>
        <a:stretch>
          <a:fillRect/>
        </a:stretch>
      </xdr:blipFill>
      <xdr:spPr>
        <a:xfrm>
          <a:off x="8914157" y="869674"/>
          <a:ext cx="328403" cy="594896"/>
        </a:xfrm>
        <a:prstGeom prst="rect">
          <a:avLst/>
        </a:prstGeom>
      </xdr:spPr>
    </xdr:pic>
    <xdr:clientData/>
  </xdr:twoCellAnchor>
  <xdr:twoCellAnchor editAs="oneCell">
    <xdr:from>
      <xdr:col>17</xdr:col>
      <xdr:colOff>382964</xdr:colOff>
      <xdr:row>4</xdr:row>
      <xdr:rowOff>117284</xdr:rowOff>
    </xdr:from>
    <xdr:to>
      <xdr:col>18</xdr:col>
      <xdr:colOff>427044</xdr:colOff>
      <xdr:row>8</xdr:row>
      <xdr:rowOff>27109</xdr:rowOff>
    </xdr:to>
    <xdr:pic>
      <xdr:nvPicPr>
        <xdr:cNvPr id="35" name="Picture 34">
          <a:extLst>
            <a:ext uri="{FF2B5EF4-FFF2-40B4-BE49-F238E27FC236}">
              <a16:creationId xmlns:a16="http://schemas.microsoft.com/office/drawing/2014/main" id="{98E0A147-6641-BC99-280A-3CFA0ABFA83D}"/>
            </a:ext>
          </a:extLst>
        </xdr:cNvPr>
        <xdr:cNvPicPr>
          <a:picLocks noChangeAspect="1"/>
        </xdr:cNvPicPr>
      </xdr:nvPicPr>
      <xdr:blipFill>
        <a:blip xmlns:r="http://schemas.openxmlformats.org/officeDocument/2006/relationships" r:embed="rId11" cstate="print">
          <a:extLst>
            <a:ext uri="{BEBA8EAE-BF5A-486C-A8C5-ECC9F3942E4B}">
              <a14:imgProps xmlns:a14="http://schemas.microsoft.com/office/drawing/2010/main">
                <a14:imgLayer r:embed="rId12">
                  <a14:imgEffect>
                    <a14:backgroundRemoval t="9778" b="89778" l="5778" r="95111">
                      <a14:foregroundMark x1="24889" y1="20000" x2="24889" y2="20000"/>
                      <a14:foregroundMark x1="5778" y1="23111" x2="5778" y2="23111"/>
                      <a14:foregroundMark x1="48000" y1="40444" x2="48000" y2="40444"/>
                      <a14:foregroundMark x1="72889" y1="19111" x2="72889" y2="19111"/>
                      <a14:foregroundMark x1="95111" y1="20889" x2="95111" y2="20889"/>
                    </a14:backgroundRemoval>
                  </a14:imgEffect>
                </a14:imgLayer>
              </a14:imgProps>
            </a:ext>
            <a:ext uri="{28A0092B-C50C-407E-A947-70E740481C1C}">
              <a14:useLocalDpi xmlns:a14="http://schemas.microsoft.com/office/drawing/2010/main" val="0"/>
            </a:ext>
          </a:extLst>
        </a:blip>
        <a:stretch>
          <a:fillRect/>
        </a:stretch>
      </xdr:blipFill>
      <xdr:spPr>
        <a:xfrm>
          <a:off x="10732809" y="863573"/>
          <a:ext cx="652895" cy="656113"/>
        </a:xfrm>
        <a:prstGeom prst="rect">
          <a:avLst/>
        </a:prstGeom>
      </xdr:spPr>
    </xdr:pic>
    <xdr:clientData/>
  </xdr:twoCellAnchor>
  <xdr:twoCellAnchor editAs="oneCell">
    <xdr:from>
      <xdr:col>23</xdr:col>
      <xdr:colOff>612488</xdr:colOff>
      <xdr:row>20</xdr:row>
      <xdr:rowOff>182095</xdr:rowOff>
    </xdr:from>
    <xdr:to>
      <xdr:col>27</xdr:col>
      <xdr:colOff>392205</xdr:colOff>
      <xdr:row>32</xdr:row>
      <xdr:rowOff>98051</xdr:rowOff>
    </xdr:to>
    <mc:AlternateContent xmlns:mc="http://schemas.openxmlformats.org/markup-compatibility/2006">
      <mc:Choice xmlns:a14="http://schemas.microsoft.com/office/drawing/2010/main" Requires="a14">
        <xdr:graphicFrame macro="">
          <xdr:nvGraphicFramePr>
            <xdr:cNvPr id="36" name="WHO Region 1">
              <a:extLst>
                <a:ext uri="{FF2B5EF4-FFF2-40B4-BE49-F238E27FC236}">
                  <a16:creationId xmlns:a16="http://schemas.microsoft.com/office/drawing/2014/main" id="{D97C5756-7B60-47B4-B214-C097071D22F4}"/>
                </a:ext>
              </a:extLst>
            </xdr:cNvPr>
            <xdr:cNvGraphicFramePr/>
          </xdr:nvGraphicFramePr>
          <xdr:xfrm>
            <a:off x="0" y="0"/>
            <a:ext cx="0" cy="0"/>
          </xdr:xfrm>
          <a:graphic>
            <a:graphicData uri="http://schemas.microsoft.com/office/drawing/2010/slicer">
              <sle:slicer xmlns:sle="http://schemas.microsoft.com/office/drawing/2010/slicer" name="WHO Region 1"/>
            </a:graphicData>
          </a:graphic>
        </xdr:graphicFrame>
      </mc:Choice>
      <mc:Fallback>
        <xdr:sp macro="" textlink="">
          <xdr:nvSpPr>
            <xdr:cNvPr id="0" name=""/>
            <xdr:cNvSpPr>
              <a:spLocks noTextEdit="1"/>
            </xdr:cNvSpPr>
          </xdr:nvSpPr>
          <xdr:spPr>
            <a:xfrm>
              <a:off x="14787929" y="4104154"/>
              <a:ext cx="2245011" cy="226919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211666</xdr:colOff>
      <xdr:row>10</xdr:row>
      <xdr:rowOff>105833</xdr:rowOff>
    </xdr:from>
    <xdr:to>
      <xdr:col>13</xdr:col>
      <xdr:colOff>223428</xdr:colOff>
      <xdr:row>32</xdr:row>
      <xdr:rowOff>82314</xdr:rowOff>
    </xdr:to>
    <xdr:sp macro="" textlink="">
      <xdr:nvSpPr>
        <xdr:cNvPr id="38" name="Rectangle: Top Corners Rounded 37">
          <a:extLst>
            <a:ext uri="{FF2B5EF4-FFF2-40B4-BE49-F238E27FC236}">
              <a16:creationId xmlns:a16="http://schemas.microsoft.com/office/drawing/2014/main" id="{1B85C825-C33A-3B79-3A91-CCEE05E5D604}"/>
            </a:ext>
          </a:extLst>
        </xdr:cNvPr>
        <xdr:cNvSpPr/>
      </xdr:nvSpPr>
      <xdr:spPr>
        <a:xfrm rot="5400000">
          <a:off x="2440046" y="370415"/>
          <a:ext cx="4115741" cy="7349540"/>
        </a:xfrm>
        <a:prstGeom prst="round2SameRect">
          <a:avLst>
            <a:gd name="adj1" fmla="val 10074"/>
            <a:gd name="adj2" fmla="val 0"/>
          </a:avLst>
        </a:prstGeom>
        <a:solidFill>
          <a:schemeClr val="bg2"/>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211666</xdr:colOff>
      <xdr:row>10</xdr:row>
      <xdr:rowOff>129357</xdr:rowOff>
    </xdr:from>
    <xdr:to>
      <xdr:col>5</xdr:col>
      <xdr:colOff>364537</xdr:colOff>
      <xdr:row>20</xdr:row>
      <xdr:rowOff>129353</xdr:rowOff>
    </xdr:to>
    <xdr:graphicFrame macro="">
      <xdr:nvGraphicFramePr>
        <xdr:cNvPr id="39" name="Chart 38">
          <a:extLst>
            <a:ext uri="{FF2B5EF4-FFF2-40B4-BE49-F238E27FC236}">
              <a16:creationId xmlns:a16="http://schemas.microsoft.com/office/drawing/2014/main" id="{DB137781-1C50-4378-8B94-89473A641C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5</xdr:col>
      <xdr:colOff>293979</xdr:colOff>
      <xdr:row>10</xdr:row>
      <xdr:rowOff>141112</xdr:rowOff>
    </xdr:from>
    <xdr:to>
      <xdr:col>9</xdr:col>
      <xdr:colOff>0</xdr:colOff>
      <xdr:row>20</xdr:row>
      <xdr:rowOff>176389</xdr:rowOff>
    </xdr:to>
    <xdr:graphicFrame macro="">
      <xdr:nvGraphicFramePr>
        <xdr:cNvPr id="40" name="Chart 39">
          <a:extLst>
            <a:ext uri="{FF2B5EF4-FFF2-40B4-BE49-F238E27FC236}">
              <a16:creationId xmlns:a16="http://schemas.microsoft.com/office/drawing/2014/main" id="{05B65979-618A-4B3D-9360-B9AB532C5A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9</xdr:col>
      <xdr:colOff>305741</xdr:colOff>
      <xdr:row>10</xdr:row>
      <xdr:rowOff>164630</xdr:rowOff>
    </xdr:from>
    <xdr:to>
      <xdr:col>13</xdr:col>
      <xdr:colOff>70556</xdr:colOff>
      <xdr:row>20</xdr:row>
      <xdr:rowOff>164630</xdr:rowOff>
    </xdr:to>
    <xdr:graphicFrame macro="">
      <xdr:nvGraphicFramePr>
        <xdr:cNvPr id="41" name="Chart 40">
          <a:extLst>
            <a:ext uri="{FF2B5EF4-FFF2-40B4-BE49-F238E27FC236}">
              <a16:creationId xmlns:a16="http://schemas.microsoft.com/office/drawing/2014/main" id="{41BA33E3-690E-4210-9EE9-7B8A7F67B2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xdr:col>
      <xdr:colOff>435093</xdr:colOff>
      <xdr:row>21</xdr:row>
      <xdr:rowOff>117593</xdr:rowOff>
    </xdr:from>
    <xdr:to>
      <xdr:col>12</xdr:col>
      <xdr:colOff>587963</xdr:colOff>
      <xdr:row>21</xdr:row>
      <xdr:rowOff>129352</xdr:rowOff>
    </xdr:to>
    <xdr:cxnSp macro="">
      <xdr:nvCxnSpPr>
        <xdr:cNvPr id="43" name="Straight Connector 42">
          <a:extLst>
            <a:ext uri="{FF2B5EF4-FFF2-40B4-BE49-F238E27FC236}">
              <a16:creationId xmlns:a16="http://schemas.microsoft.com/office/drawing/2014/main" id="{DCA06C51-97BE-EFED-7C8D-C9EFEA580E26}"/>
            </a:ext>
          </a:extLst>
        </xdr:cNvPr>
        <xdr:cNvCxnSpPr/>
      </xdr:nvCxnSpPr>
      <xdr:spPr>
        <a:xfrm>
          <a:off x="1046574" y="4068704"/>
          <a:ext cx="6879167" cy="11759"/>
        </a:xfrm>
        <a:prstGeom prst="line">
          <a:avLst/>
        </a:prstGeom>
        <a:ln/>
      </xdr:spPr>
      <xdr:style>
        <a:lnRef idx="2">
          <a:schemeClr val="dk1"/>
        </a:lnRef>
        <a:fillRef idx="0">
          <a:schemeClr val="dk1"/>
        </a:fillRef>
        <a:effectRef idx="1">
          <a:schemeClr val="dk1"/>
        </a:effectRef>
        <a:fontRef idx="minor">
          <a:schemeClr val="tx1"/>
        </a:fontRef>
      </xdr:style>
    </xdr:cxnSp>
    <xdr:clientData/>
  </xdr:twoCellAnchor>
  <xdr:twoCellAnchor>
    <xdr:from>
      <xdr:col>5</xdr:col>
      <xdr:colOff>305741</xdr:colOff>
      <xdr:row>11</xdr:row>
      <xdr:rowOff>117592</xdr:rowOff>
    </xdr:from>
    <xdr:to>
      <xdr:col>5</xdr:col>
      <xdr:colOff>317500</xdr:colOff>
      <xdr:row>20</xdr:row>
      <xdr:rowOff>117593</xdr:rowOff>
    </xdr:to>
    <xdr:cxnSp macro="">
      <xdr:nvCxnSpPr>
        <xdr:cNvPr id="47" name="Straight Connector 46">
          <a:extLst>
            <a:ext uri="{FF2B5EF4-FFF2-40B4-BE49-F238E27FC236}">
              <a16:creationId xmlns:a16="http://schemas.microsoft.com/office/drawing/2014/main" id="{F1D515E4-2AA7-5C98-90C4-677686BD744F}"/>
            </a:ext>
          </a:extLst>
        </xdr:cNvPr>
        <xdr:cNvCxnSpPr/>
      </xdr:nvCxnSpPr>
      <xdr:spPr>
        <a:xfrm flipH="1">
          <a:off x="3363148" y="2187222"/>
          <a:ext cx="11759" cy="1693334"/>
        </a:xfrm>
        <a:prstGeom prst="line">
          <a:avLst/>
        </a:prstGeom>
        <a:ln/>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152400</xdr:colOff>
      <xdr:row>11</xdr:row>
      <xdr:rowOff>140640</xdr:rowOff>
    </xdr:from>
    <xdr:to>
      <xdr:col>9</xdr:col>
      <xdr:colOff>164159</xdr:colOff>
      <xdr:row>20</xdr:row>
      <xdr:rowOff>140641</xdr:rowOff>
    </xdr:to>
    <xdr:cxnSp macro="">
      <xdr:nvCxnSpPr>
        <xdr:cNvPr id="50" name="Straight Connector 49">
          <a:extLst>
            <a:ext uri="{FF2B5EF4-FFF2-40B4-BE49-F238E27FC236}">
              <a16:creationId xmlns:a16="http://schemas.microsoft.com/office/drawing/2014/main" id="{8EE23D79-1921-436B-9F23-B4A1F3A6FEC2}"/>
            </a:ext>
          </a:extLst>
        </xdr:cNvPr>
        <xdr:cNvCxnSpPr/>
      </xdr:nvCxnSpPr>
      <xdr:spPr>
        <a:xfrm flipH="1">
          <a:off x="5655733" y="2210270"/>
          <a:ext cx="11759" cy="1693334"/>
        </a:xfrm>
        <a:prstGeom prst="line">
          <a:avLst/>
        </a:prstGeom>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305741</xdr:colOff>
      <xdr:row>21</xdr:row>
      <xdr:rowOff>117593</xdr:rowOff>
    </xdr:from>
    <xdr:to>
      <xdr:col>4</xdr:col>
      <xdr:colOff>199907</xdr:colOff>
      <xdr:row>22</xdr:row>
      <xdr:rowOff>164630</xdr:rowOff>
    </xdr:to>
    <xdr:sp macro="" textlink="">
      <xdr:nvSpPr>
        <xdr:cNvPr id="52" name="TextBox 51">
          <a:extLst>
            <a:ext uri="{FF2B5EF4-FFF2-40B4-BE49-F238E27FC236}">
              <a16:creationId xmlns:a16="http://schemas.microsoft.com/office/drawing/2014/main" id="{0559CF86-84DD-B1A7-F7D3-8253CA68B69C}"/>
            </a:ext>
          </a:extLst>
        </xdr:cNvPr>
        <xdr:cNvSpPr txBox="1"/>
      </xdr:nvSpPr>
      <xdr:spPr>
        <a:xfrm>
          <a:off x="917222" y="4068704"/>
          <a:ext cx="1728611" cy="2351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dk1"/>
              </a:solidFill>
              <a:latin typeface="+mn-lt"/>
              <a:ea typeface="+mn-ea"/>
              <a:cs typeface="+mn-cs"/>
            </a:rPr>
            <a:t>NEW</a:t>
          </a:r>
          <a:r>
            <a:rPr lang="en-US" sz="1400" b="1" baseline="0">
              <a:solidFill>
                <a:schemeClr val="dk1"/>
              </a:solidFill>
              <a:latin typeface="+mn-lt"/>
              <a:ea typeface="+mn-ea"/>
              <a:cs typeface="+mn-cs"/>
            </a:rPr>
            <a:t> CASES</a:t>
          </a:r>
          <a:endParaRPr lang="en-US" sz="1400" b="1">
            <a:solidFill>
              <a:schemeClr val="dk1"/>
            </a:solidFill>
            <a:latin typeface="+mn-lt"/>
            <a:ea typeface="+mn-ea"/>
            <a:cs typeface="+mn-cs"/>
          </a:endParaRPr>
        </a:p>
      </xdr:txBody>
    </xdr:sp>
    <xdr:clientData/>
  </xdr:twoCellAnchor>
  <xdr:twoCellAnchor>
    <xdr:from>
      <xdr:col>1</xdr:col>
      <xdr:colOff>317498</xdr:colOff>
      <xdr:row>22</xdr:row>
      <xdr:rowOff>152871</xdr:rowOff>
    </xdr:from>
    <xdr:to>
      <xdr:col>5</xdr:col>
      <xdr:colOff>199907</xdr:colOff>
      <xdr:row>31</xdr:row>
      <xdr:rowOff>164628</xdr:rowOff>
    </xdr:to>
    <xdr:graphicFrame macro="">
      <xdr:nvGraphicFramePr>
        <xdr:cNvPr id="53" name="Chart 52">
          <a:extLst>
            <a:ext uri="{FF2B5EF4-FFF2-40B4-BE49-F238E27FC236}">
              <a16:creationId xmlns:a16="http://schemas.microsoft.com/office/drawing/2014/main" id="{771ECF3F-D7A8-478F-A8A1-0B81EDA46F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5</xdr:col>
      <xdr:colOff>258233</xdr:colOff>
      <xdr:row>22</xdr:row>
      <xdr:rowOff>175919</xdr:rowOff>
    </xdr:from>
    <xdr:to>
      <xdr:col>5</xdr:col>
      <xdr:colOff>269992</xdr:colOff>
      <xdr:row>31</xdr:row>
      <xdr:rowOff>175919</xdr:rowOff>
    </xdr:to>
    <xdr:cxnSp macro="">
      <xdr:nvCxnSpPr>
        <xdr:cNvPr id="54" name="Straight Connector 53">
          <a:extLst>
            <a:ext uri="{FF2B5EF4-FFF2-40B4-BE49-F238E27FC236}">
              <a16:creationId xmlns:a16="http://schemas.microsoft.com/office/drawing/2014/main" id="{DE81D4D2-71A4-4475-84E0-C0E9027D410D}"/>
            </a:ext>
          </a:extLst>
        </xdr:cNvPr>
        <xdr:cNvCxnSpPr/>
      </xdr:nvCxnSpPr>
      <xdr:spPr>
        <a:xfrm flipH="1">
          <a:off x="3315640" y="4315178"/>
          <a:ext cx="11759" cy="1693334"/>
        </a:xfrm>
        <a:prstGeom prst="line">
          <a:avLst/>
        </a:prstGeom>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341018</xdr:colOff>
      <xdr:row>22</xdr:row>
      <xdr:rowOff>105834</xdr:rowOff>
    </xdr:from>
    <xdr:to>
      <xdr:col>9</xdr:col>
      <xdr:colOff>105834</xdr:colOff>
      <xdr:row>31</xdr:row>
      <xdr:rowOff>152870</xdr:rowOff>
    </xdr:to>
    <xdr:graphicFrame macro="">
      <xdr:nvGraphicFramePr>
        <xdr:cNvPr id="55" name="Chart 54">
          <a:extLst>
            <a:ext uri="{FF2B5EF4-FFF2-40B4-BE49-F238E27FC236}">
              <a16:creationId xmlns:a16="http://schemas.microsoft.com/office/drawing/2014/main" id="{B283E7E0-97D7-478C-9A80-A5748F7FDE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9</xdr:col>
      <xdr:colOff>151929</xdr:colOff>
      <xdr:row>22</xdr:row>
      <xdr:rowOff>151930</xdr:rowOff>
    </xdr:from>
    <xdr:to>
      <xdr:col>9</xdr:col>
      <xdr:colOff>163688</xdr:colOff>
      <xdr:row>31</xdr:row>
      <xdr:rowOff>151930</xdr:rowOff>
    </xdr:to>
    <xdr:cxnSp macro="">
      <xdr:nvCxnSpPr>
        <xdr:cNvPr id="56" name="Straight Connector 55">
          <a:extLst>
            <a:ext uri="{FF2B5EF4-FFF2-40B4-BE49-F238E27FC236}">
              <a16:creationId xmlns:a16="http://schemas.microsoft.com/office/drawing/2014/main" id="{996BBEFB-8B65-43B9-97E2-939E2BA99EDA}"/>
            </a:ext>
          </a:extLst>
        </xdr:cNvPr>
        <xdr:cNvCxnSpPr/>
      </xdr:nvCxnSpPr>
      <xdr:spPr>
        <a:xfrm flipH="1">
          <a:off x="5655262" y="4291189"/>
          <a:ext cx="11759" cy="1693334"/>
        </a:xfrm>
        <a:prstGeom prst="line">
          <a:avLst/>
        </a:prstGeom>
        <a:ln/>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188147</xdr:colOff>
      <xdr:row>22</xdr:row>
      <xdr:rowOff>58795</xdr:rowOff>
    </xdr:from>
    <xdr:to>
      <xdr:col>13</xdr:col>
      <xdr:colOff>211667</xdr:colOff>
      <xdr:row>31</xdr:row>
      <xdr:rowOff>152870</xdr:rowOff>
    </xdr:to>
    <xdr:graphicFrame macro="">
      <xdr:nvGraphicFramePr>
        <xdr:cNvPr id="57" name="Chart 56">
          <a:extLst>
            <a:ext uri="{FF2B5EF4-FFF2-40B4-BE49-F238E27FC236}">
              <a16:creationId xmlns:a16="http://schemas.microsoft.com/office/drawing/2014/main" id="{7FCF8B19-3256-4F10-AD26-7A3FB243AB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13</xdr:col>
      <xdr:colOff>375827</xdr:colOff>
      <xdr:row>10</xdr:row>
      <xdr:rowOff>128882</xdr:rowOff>
    </xdr:from>
    <xdr:to>
      <xdr:col>23</xdr:col>
      <xdr:colOff>329259</xdr:colOff>
      <xdr:row>32</xdr:row>
      <xdr:rowOff>105363</xdr:rowOff>
    </xdr:to>
    <xdr:sp macro="" textlink="">
      <xdr:nvSpPr>
        <xdr:cNvPr id="58" name="Rectangle: Top Corners Rounded 57">
          <a:extLst>
            <a:ext uri="{FF2B5EF4-FFF2-40B4-BE49-F238E27FC236}">
              <a16:creationId xmlns:a16="http://schemas.microsoft.com/office/drawing/2014/main" id="{B64598C8-6817-4A96-ACE7-81E68A50C432}"/>
            </a:ext>
          </a:extLst>
        </xdr:cNvPr>
        <xdr:cNvSpPr/>
      </xdr:nvSpPr>
      <xdr:spPr>
        <a:xfrm rot="5400000">
          <a:off x="9301339" y="1034110"/>
          <a:ext cx="4115741" cy="6068247"/>
        </a:xfrm>
        <a:prstGeom prst="round2SameRect">
          <a:avLst>
            <a:gd name="adj1" fmla="val 10074"/>
            <a:gd name="adj2" fmla="val 0"/>
          </a:avLst>
        </a:prstGeom>
        <a:solidFill>
          <a:schemeClr val="bg2"/>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406213</xdr:colOff>
      <xdr:row>10</xdr:row>
      <xdr:rowOff>154081</xdr:rowOff>
    </xdr:from>
    <xdr:to>
      <xdr:col>15</xdr:col>
      <xdr:colOff>546287</xdr:colOff>
      <xdr:row>13</xdr:row>
      <xdr:rowOff>56029</xdr:rowOff>
    </xdr:to>
    <xdr:sp macro="" textlink="">
      <xdr:nvSpPr>
        <xdr:cNvPr id="61" name="TextBox 60">
          <a:extLst>
            <a:ext uri="{FF2B5EF4-FFF2-40B4-BE49-F238E27FC236}">
              <a16:creationId xmlns:a16="http://schemas.microsoft.com/office/drawing/2014/main" id="{3B627B61-CBC3-D0E7-6C99-967CC6732ADB}"/>
            </a:ext>
          </a:extLst>
        </xdr:cNvPr>
        <xdr:cNvSpPr txBox="1"/>
      </xdr:nvSpPr>
      <xdr:spPr>
        <a:xfrm>
          <a:off x="8418419" y="2115110"/>
          <a:ext cx="1372721" cy="4902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LAST WEEK</a:t>
          </a:r>
        </a:p>
      </xdr:txBody>
    </xdr:sp>
    <xdr:clientData/>
  </xdr:twoCellAnchor>
  <xdr:twoCellAnchor>
    <xdr:from>
      <xdr:col>13</xdr:col>
      <xdr:colOff>494975</xdr:colOff>
      <xdr:row>12</xdr:row>
      <xdr:rowOff>49333</xdr:rowOff>
    </xdr:from>
    <xdr:to>
      <xdr:col>23</xdr:col>
      <xdr:colOff>126065</xdr:colOff>
      <xdr:row>31</xdr:row>
      <xdr:rowOff>154080</xdr:rowOff>
    </xdr:to>
    <xdr:graphicFrame macro="">
      <xdr:nvGraphicFramePr>
        <xdr:cNvPr id="62" name="Chart 61">
          <a:extLst>
            <a:ext uri="{FF2B5EF4-FFF2-40B4-BE49-F238E27FC236}">
              <a16:creationId xmlns:a16="http://schemas.microsoft.com/office/drawing/2014/main" id="{406F3D82-82E7-40C2-89CE-E5DDB4E345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23</xdr:col>
      <xdr:colOff>462243</xdr:colOff>
      <xdr:row>19</xdr:row>
      <xdr:rowOff>70036</xdr:rowOff>
    </xdr:from>
    <xdr:to>
      <xdr:col>25</xdr:col>
      <xdr:colOff>420221</xdr:colOff>
      <xdr:row>20</xdr:row>
      <xdr:rowOff>126065</xdr:rowOff>
    </xdr:to>
    <xdr:sp macro="" textlink="">
      <xdr:nvSpPr>
        <xdr:cNvPr id="63" name="TextBox 62">
          <a:extLst>
            <a:ext uri="{FF2B5EF4-FFF2-40B4-BE49-F238E27FC236}">
              <a16:creationId xmlns:a16="http://schemas.microsoft.com/office/drawing/2014/main" id="{11568E08-D266-6671-3EC4-5D5FC6B6828D}"/>
            </a:ext>
          </a:extLst>
        </xdr:cNvPr>
        <xdr:cNvSpPr txBox="1"/>
      </xdr:nvSpPr>
      <xdr:spPr>
        <a:xfrm>
          <a:off x="14637684" y="3795992"/>
          <a:ext cx="1190625" cy="2521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SLICER</a:t>
          </a:r>
        </a:p>
      </xdr:txBody>
    </xdr:sp>
    <xdr:clientData/>
  </xdr:twoCellAnchor>
  <xdr:twoCellAnchor>
    <xdr:from>
      <xdr:col>23</xdr:col>
      <xdr:colOff>476250</xdr:colOff>
      <xdr:row>19</xdr:row>
      <xdr:rowOff>14007</xdr:rowOff>
    </xdr:from>
    <xdr:to>
      <xdr:col>27</xdr:col>
      <xdr:colOff>504265</xdr:colOff>
      <xdr:row>19</xdr:row>
      <xdr:rowOff>14007</xdr:rowOff>
    </xdr:to>
    <xdr:cxnSp macro="">
      <xdr:nvCxnSpPr>
        <xdr:cNvPr id="64" name="Straight Connector 63">
          <a:extLst>
            <a:ext uri="{FF2B5EF4-FFF2-40B4-BE49-F238E27FC236}">
              <a16:creationId xmlns:a16="http://schemas.microsoft.com/office/drawing/2014/main" id="{9D53B85D-7B1D-4F2F-84D6-5DEB95F3DB26}"/>
            </a:ext>
          </a:extLst>
        </xdr:cNvPr>
        <xdr:cNvCxnSpPr/>
      </xdr:nvCxnSpPr>
      <xdr:spPr>
        <a:xfrm flipH="1">
          <a:off x="14651691" y="3739963"/>
          <a:ext cx="2493309" cy="0"/>
        </a:xfrm>
        <a:prstGeom prst="line">
          <a:avLst/>
        </a:prstGeom>
        <a:ln/>
      </xdr:spPr>
      <xdr:style>
        <a:lnRef idx="1">
          <a:schemeClr val="dk1"/>
        </a:lnRef>
        <a:fillRef idx="0">
          <a:schemeClr val="dk1"/>
        </a:fillRef>
        <a:effectRef idx="0">
          <a:schemeClr val="dk1"/>
        </a:effectRef>
        <a:fontRef idx="minor">
          <a:schemeClr val="tx1"/>
        </a:fontRef>
      </xdr:style>
    </xdr:cxnSp>
    <xdr:clientData/>
  </xdr:twoCellAnchor>
  <xdr:twoCellAnchor>
    <xdr:from>
      <xdr:col>21</xdr:col>
      <xdr:colOff>28015</xdr:colOff>
      <xdr:row>1</xdr:row>
      <xdr:rowOff>65403</xdr:rowOff>
    </xdr:from>
    <xdr:to>
      <xdr:col>24</xdr:col>
      <xdr:colOff>472090</xdr:colOff>
      <xdr:row>10</xdr:row>
      <xdr:rowOff>126067</xdr:rowOff>
    </xdr:to>
    <xdr:graphicFrame macro="">
      <xdr:nvGraphicFramePr>
        <xdr:cNvPr id="68" name="Chart 67">
          <a:extLst>
            <a:ext uri="{FF2B5EF4-FFF2-40B4-BE49-F238E27FC236}">
              <a16:creationId xmlns:a16="http://schemas.microsoft.com/office/drawing/2014/main" id="{5778C472-F8DC-490A-A8E7-812AC577DC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23</xdr:col>
      <xdr:colOff>476253</xdr:colOff>
      <xdr:row>1</xdr:row>
      <xdr:rowOff>56031</xdr:rowOff>
    </xdr:from>
    <xdr:to>
      <xdr:col>28</xdr:col>
      <xdr:colOff>274768</xdr:colOff>
      <xdr:row>10</xdr:row>
      <xdr:rowOff>154083</xdr:rowOff>
    </xdr:to>
    <xdr:graphicFrame macro="">
      <xdr:nvGraphicFramePr>
        <xdr:cNvPr id="69" name="Chart 68">
          <a:extLst>
            <a:ext uri="{FF2B5EF4-FFF2-40B4-BE49-F238E27FC236}">
              <a16:creationId xmlns:a16="http://schemas.microsoft.com/office/drawing/2014/main" id="{0DADBA3B-2417-4A6E-93F3-2E371FC72C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23</xdr:col>
      <xdr:colOff>490258</xdr:colOff>
      <xdr:row>9</xdr:row>
      <xdr:rowOff>154081</xdr:rowOff>
    </xdr:from>
    <xdr:to>
      <xdr:col>27</xdr:col>
      <xdr:colOff>514667</xdr:colOff>
      <xdr:row>18</xdr:row>
      <xdr:rowOff>143263</xdr:rowOff>
    </xdr:to>
    <xdr:graphicFrame macro="">
      <xdr:nvGraphicFramePr>
        <xdr:cNvPr id="70" name="Chart 69">
          <a:extLst>
            <a:ext uri="{FF2B5EF4-FFF2-40B4-BE49-F238E27FC236}">
              <a16:creationId xmlns:a16="http://schemas.microsoft.com/office/drawing/2014/main" id="{55FDEAF8-BFFB-4D8A-94A4-CB4EDC848B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riram ravichandran" refreshedDate="46058.711171990741" createdVersion="8" refreshedVersion="8" minRefreshableVersion="3" recordCount="187" xr:uid="{3522CA53-1BC5-4409-8B43-452AC88ABE05}">
  <cacheSource type="worksheet">
    <worksheetSource name="Table1"/>
  </cacheSource>
  <cacheFields count="15">
    <cacheField name="Country/Region" numFmtId="49">
      <sharedItems count="187">
        <s v="Afghanistan"/>
        <s v="Albania"/>
        <s v="Algeria"/>
        <s v="Andorra"/>
        <s v="Angola"/>
        <s v="Antigua and Barbuda"/>
        <s v="Argentina"/>
        <s v="Armenia"/>
        <s v="Australia"/>
        <s v="Austria"/>
        <s v="Azerbaijan"/>
        <s v="Bahamas"/>
        <s v="Bahrain"/>
        <s v="Bangladesh"/>
        <s v="Barbados"/>
        <s v="Belarus"/>
        <s v="Belgium"/>
        <s v="Belize"/>
        <s v="Benin"/>
        <s v="Bhutan"/>
        <s v="Bolivia"/>
        <s v="Bosnia and Herzegovina"/>
        <s v="Botswana"/>
        <s v="Brazil"/>
        <s v="Brunei"/>
        <s v="Bulgaria"/>
        <s v="Burkina Faso"/>
        <s v="Burma"/>
        <s v="Burundi"/>
        <s v="Cabo Verde"/>
        <s v="Cambodia"/>
        <s v="Cameroon"/>
        <s v="Canada"/>
        <s v="Central African Republic"/>
        <s v="Chad"/>
        <s v="Chile"/>
        <s v="China"/>
        <s v="Colombia"/>
        <s v="Comoros"/>
        <s v="Congo (Brazzaville)"/>
        <s v="Congo (Kinshasa)"/>
        <s v="Costa Rica"/>
        <s v="Cote d'Ivoire"/>
        <s v="Croatia"/>
        <s v="Cuba"/>
        <s v="Cyprus"/>
        <s v="Czechia"/>
        <s v="Denmark"/>
        <s v="Djibouti"/>
        <s v="Dominica"/>
        <s v="Dominican Republic"/>
        <s v="Ecuador"/>
        <s v="Egypt"/>
        <s v="El Salvador"/>
        <s v="Equatorial Guinea"/>
        <s v="Eritrea"/>
        <s v="Estonia"/>
        <s v="Eswatini"/>
        <s v="Ethiopia"/>
        <s v="Fiji"/>
        <s v="Finland"/>
        <s v="France"/>
        <s v="Gabon"/>
        <s v="Gambia"/>
        <s v="Georgia"/>
        <s v="Germany"/>
        <s v="Ghana"/>
        <s v="Greece"/>
        <s v="Greenland"/>
        <s v="Grenada"/>
        <s v="Guatemala"/>
        <s v="Guinea"/>
        <s v="Guinea-Bissau"/>
        <s v="Guyana"/>
        <s v="Haiti"/>
        <s v="Holy See"/>
        <s v="Honduras"/>
        <s v="Hungary"/>
        <s v="Iceland"/>
        <s v="India"/>
        <s v="Indonesia"/>
        <s v="Iran"/>
        <s v="Iraq"/>
        <s v="Ireland"/>
        <s v="Israel"/>
        <s v="Italy"/>
        <s v="Jamaica"/>
        <s v="Japan"/>
        <s v="Jordan"/>
        <s v="Kazakhstan"/>
        <s v="Kenya"/>
        <s v="Kosovo"/>
        <s v="Kuwait"/>
        <s v="Kyrgyzstan"/>
        <s v="Laos"/>
        <s v="Latvia"/>
        <s v="Lebanon"/>
        <s v="Lesotho"/>
        <s v="Liberia"/>
        <s v="Libya"/>
        <s v="Liechtenstein"/>
        <s v="Lithuania"/>
        <s v="Luxembourg"/>
        <s v="Madagascar"/>
        <s v="Malawi"/>
        <s v="Malaysia"/>
        <s v="Maldives"/>
        <s v="Mali"/>
        <s v="Malta"/>
        <s v="Mauritania"/>
        <s v="Mauritius"/>
        <s v="Mexico"/>
        <s v="Moldova"/>
        <s v="Monaco"/>
        <s v="Mongolia"/>
        <s v="Montenegro"/>
        <s v="Morocco"/>
        <s v="Mozambique"/>
        <s v="Namibia"/>
        <s v="Nepal"/>
        <s v="Netherlands"/>
        <s v="New Zealand"/>
        <s v="Nicaragua"/>
        <s v="Niger"/>
        <s v="Nigeria"/>
        <s v="North Macedonia"/>
        <s v="Norway"/>
        <s v="Oman"/>
        <s v="Pakistan"/>
        <s v="Panama"/>
        <s v="Papua New Guinea"/>
        <s v="Paraguay"/>
        <s v="Peru"/>
        <s v="Philippines"/>
        <s v="Poland"/>
        <s v="Portugal"/>
        <s v="Qatar"/>
        <s v="Romania"/>
        <s v="Russia"/>
        <s v="Rwanda"/>
        <s v="Saint Kitts and Nevis"/>
        <s v="Saint Lucia"/>
        <s v="Saint Vincent and the Grenadines"/>
        <s v="San Marino"/>
        <s v="Sao Tome and Principe"/>
        <s v="Saudi Arabia"/>
        <s v="Senegal"/>
        <s v="Serbia"/>
        <s v="Seychelles"/>
        <s v="Sierra Leone"/>
        <s v="Singapore"/>
        <s v="Slovakia"/>
        <s v="Slovenia"/>
        <s v="Somalia"/>
        <s v="South Africa"/>
        <s v="South Korea"/>
        <s v="South Sudan"/>
        <s v="Spain"/>
        <s v="Sri Lanka"/>
        <s v="Sudan"/>
        <s v="Suriname"/>
        <s v="Sweden"/>
        <s v="Switzerland"/>
        <s v="Syria"/>
        <s v="Taiwan*"/>
        <s v="Tajikistan"/>
        <s v="Tanzania"/>
        <s v="Thailand"/>
        <s v="Timor-Leste"/>
        <s v="Togo"/>
        <s v="Trinidad and Tobago"/>
        <s v="Tunisia"/>
        <s v="Turkey"/>
        <s v="US"/>
        <s v="Uganda"/>
        <s v="Ukraine"/>
        <s v="United Arab Emirates"/>
        <s v="United Kingdom"/>
        <s v="Uruguay"/>
        <s v="Uzbekistan"/>
        <s v="Venezuela"/>
        <s v="Vietnam"/>
        <s v="West Bank and Gaza"/>
        <s v="Western Sahara"/>
        <s v="Yemen"/>
        <s v="Zambia"/>
        <s v="Zimbabwe"/>
      </sharedItems>
    </cacheField>
    <cacheField name="Confirmed" numFmtId="1">
      <sharedItems containsSemiMixedTypes="0" containsString="0" containsNumber="1" containsInteger="1" minValue="10" maxValue="4290259" count="184">
        <n v="36263"/>
        <n v="4880"/>
        <n v="27973"/>
        <n v="907"/>
        <n v="950"/>
        <n v="86"/>
        <n v="167416"/>
        <n v="37390"/>
        <n v="15303"/>
        <n v="20558"/>
        <n v="30446"/>
        <n v="382"/>
        <n v="39482"/>
        <n v="226225"/>
        <n v="110"/>
        <n v="67251"/>
        <n v="66428"/>
        <n v="48"/>
        <n v="1770"/>
        <n v="99"/>
        <n v="71181"/>
        <n v="10498"/>
        <n v="739"/>
        <n v="2442375"/>
        <n v="141"/>
        <n v="10621"/>
        <n v="1100"/>
        <n v="350"/>
        <n v="378"/>
        <n v="2328"/>
        <n v="226"/>
        <n v="17110"/>
        <n v="116458"/>
        <n v="4599"/>
        <n v="922"/>
        <n v="347923"/>
        <n v="86783"/>
        <n v="257101"/>
        <n v="354"/>
        <n v="3200"/>
        <n v="8844"/>
        <n v="15841"/>
        <n v="15655"/>
        <n v="4881"/>
        <n v="2532"/>
        <n v="1060"/>
        <n v="15516"/>
        <n v="13761"/>
        <n v="5059"/>
        <n v="18"/>
        <n v="64156"/>
        <n v="81161"/>
        <n v="92482"/>
        <n v="15035"/>
        <n v="3071"/>
        <n v="265"/>
        <n v="2034"/>
        <n v="2316"/>
        <n v="14547"/>
        <n v="27"/>
        <n v="7398"/>
        <n v="220352"/>
        <n v="7189"/>
        <n v="326"/>
        <n v="1137"/>
        <n v="207112"/>
        <n v="33624"/>
        <n v="4227"/>
        <n v="14"/>
        <n v="23"/>
        <n v="45309"/>
        <n v="7055"/>
        <n v="1954"/>
        <n v="389"/>
        <n v="7340"/>
        <n v="12"/>
        <n v="39741"/>
        <n v="4448"/>
        <n v="1854"/>
        <n v="1480073"/>
        <n v="100303"/>
        <n v="293606"/>
        <n v="112585"/>
        <n v="25892"/>
        <n v="63985"/>
        <n v="246286"/>
        <n v="853"/>
        <n v="31142"/>
        <n v="1176"/>
        <n v="84648"/>
        <n v="17975"/>
        <n v="7413"/>
        <n v="64379"/>
        <n v="33296"/>
        <n v="20"/>
        <n v="1219"/>
        <n v="3882"/>
        <n v="505"/>
        <n v="1167"/>
        <n v="2827"/>
        <n v="2019"/>
        <n v="6321"/>
        <n v="9690"/>
        <n v="3664"/>
        <n v="8904"/>
        <n v="3369"/>
        <n v="2513"/>
        <n v="701"/>
        <n v="6208"/>
        <n v="344"/>
        <n v="395489"/>
        <n v="23154"/>
        <n v="116"/>
        <n v="289"/>
        <n v="2893"/>
        <n v="20887"/>
        <n v="1701"/>
        <n v="1843"/>
        <n v="18752"/>
        <n v="53413"/>
        <n v="1557"/>
        <n v="3439"/>
        <n v="1132"/>
        <n v="41180"/>
        <n v="10213"/>
        <n v="9132"/>
        <n v="77058"/>
        <n v="274289"/>
        <n v="61442"/>
        <n v="62"/>
        <n v="4548"/>
        <n v="389717"/>
        <n v="82040"/>
        <n v="43402"/>
        <n v="50299"/>
        <n v="109597"/>
        <n v="45902"/>
        <n v="816680"/>
        <n v="1879"/>
        <n v="17"/>
        <n v="24"/>
        <n v="52"/>
        <n v="699"/>
        <n v="865"/>
        <n v="268934"/>
        <n v="9764"/>
        <n v="24141"/>
        <n v="114"/>
        <n v="1783"/>
        <n v="50838"/>
        <n v="2181"/>
        <n v="2087"/>
        <n v="3196"/>
        <n v="452529"/>
        <n v="14203"/>
        <n v="2305"/>
        <n v="272421"/>
        <n v="2805"/>
        <n v="11424"/>
        <n v="1483"/>
        <n v="79395"/>
        <n v="34477"/>
        <n v="674"/>
        <n v="462"/>
        <n v="7235"/>
        <n v="509"/>
        <n v="3297"/>
        <n v="874"/>
        <n v="148"/>
        <n v="1455"/>
        <n v="227019"/>
        <n v="4290259"/>
        <n v="1128"/>
        <n v="67096"/>
        <n v="59177"/>
        <n v="301708"/>
        <n v="1202"/>
        <n v="21209"/>
        <n v="15988"/>
        <n v="431"/>
        <n v="10"/>
        <n v="1691"/>
        <n v="4552"/>
        <n v="2704"/>
      </sharedItems>
    </cacheField>
    <cacheField name="Deaths" numFmtId="1">
      <sharedItems containsSemiMixedTypes="0" containsString="0" containsNumber="1" containsInteger="1" minValue="0" maxValue="148011" count="150">
        <n v="1269"/>
        <n v="144"/>
        <n v="1163"/>
        <n v="52"/>
        <n v="41"/>
        <n v="3"/>
        <n v="3059"/>
        <n v="711"/>
        <n v="167"/>
        <n v="713"/>
        <n v="423"/>
        <n v="11"/>
        <n v="141"/>
        <n v="2965"/>
        <n v="7"/>
        <n v="538"/>
        <n v="9822"/>
        <n v="2"/>
        <n v="35"/>
        <n v="0"/>
        <n v="2647"/>
        <n v="294"/>
        <n v="87618"/>
        <n v="347"/>
        <n v="53"/>
        <n v="6"/>
        <n v="1"/>
        <n v="22"/>
        <n v="391"/>
        <n v="8944"/>
        <n v="59"/>
        <n v="75"/>
        <n v="9187"/>
        <n v="4656"/>
        <n v="8777"/>
        <n v="54"/>
        <n v="208"/>
        <n v="115"/>
        <n v="96"/>
        <n v="139"/>
        <n v="87"/>
        <n v="19"/>
        <n v="373"/>
        <n v="613"/>
        <n v="58"/>
        <n v="1083"/>
        <n v="5532"/>
        <n v="4652"/>
        <n v="408"/>
        <n v="51"/>
        <n v="69"/>
        <n v="34"/>
        <n v="228"/>
        <n v="329"/>
        <n v="30212"/>
        <n v="49"/>
        <n v="8"/>
        <n v="16"/>
        <n v="9125"/>
        <n v="168"/>
        <n v="202"/>
        <n v="1761"/>
        <n v="45"/>
        <n v="26"/>
        <n v="20"/>
        <n v="158"/>
        <n v="1166"/>
        <n v="596"/>
        <n v="10"/>
        <n v="33408"/>
        <n v="4838"/>
        <n v="15912"/>
        <n v="4458"/>
        <n v="1764"/>
        <n v="474"/>
        <n v="35112"/>
        <n v="998"/>
        <n v="585"/>
        <n v="285"/>
        <n v="185"/>
        <n v="438"/>
        <n v="1301"/>
        <n v="31"/>
        <n v="12"/>
        <n v="72"/>
        <n v="64"/>
        <n v="80"/>
        <n v="112"/>
        <n v="91"/>
        <n v="99"/>
        <n v="124"/>
        <n v="15"/>
        <n v="9"/>
        <n v="156"/>
        <n v="44022"/>
        <n v="748"/>
        <n v="4"/>
        <n v="316"/>
        <n v="48"/>
        <n v="6160"/>
        <n v="108"/>
        <n v="860"/>
        <n v="466"/>
        <n v="255"/>
        <n v="393"/>
        <n v="5842"/>
        <n v="1322"/>
        <n v="43"/>
        <n v="18418"/>
        <n v="1945"/>
        <n v="1676"/>
        <n v="1719"/>
        <n v="165"/>
        <n v="2206"/>
        <n v="13334"/>
        <n v="5"/>
        <n v="42"/>
        <n v="14"/>
        <n v="2760"/>
        <n v="194"/>
        <n v="543"/>
        <n v="66"/>
        <n v="27"/>
        <n v="28"/>
        <n v="116"/>
        <n v="93"/>
        <n v="7067"/>
        <n v="300"/>
        <n v="46"/>
        <n v="28432"/>
        <n v="720"/>
        <n v="24"/>
        <n v="5700"/>
        <n v="1978"/>
        <n v="40"/>
        <n v="60"/>
        <n v="21"/>
        <n v="18"/>
        <n v="50"/>
        <n v="5630"/>
        <n v="148011"/>
        <n v="1636"/>
        <n v="345"/>
        <n v="45844"/>
        <n v="121"/>
        <n v="146"/>
        <n v="78"/>
        <n v="483"/>
        <n v="140"/>
        <n v="36"/>
      </sharedItems>
    </cacheField>
    <cacheField name="Recovered" numFmtId="1">
      <sharedItems containsSemiMixedTypes="0" containsString="0" containsNumber="1" containsInteger="1" minValue="0" maxValue="1846641" count="178">
        <n v="25198"/>
        <n v="2745"/>
        <n v="18837"/>
        <n v="803"/>
        <n v="242"/>
        <n v="65"/>
        <n v="72575"/>
        <n v="26665"/>
        <n v="9311"/>
        <n v="18246"/>
        <n v="23242"/>
        <n v="91"/>
        <n v="36110"/>
        <n v="125683"/>
        <n v="94"/>
        <n v="60492"/>
        <n v="17452"/>
        <n v="26"/>
        <n v="1036"/>
        <n v="86"/>
        <n v="21478"/>
        <n v="4930"/>
        <n v="63"/>
        <n v="1846641"/>
        <n v="138"/>
        <n v="5585"/>
        <n v="926"/>
        <n v="292"/>
        <n v="301"/>
        <n v="1550"/>
        <n v="147"/>
        <n v="14539"/>
        <n v="0"/>
        <n v="1546"/>
        <n v="810"/>
        <n v="319954"/>
        <n v="78869"/>
        <n v="131161"/>
        <n v="328"/>
        <n v="829"/>
        <n v="5700"/>
        <n v="3824"/>
        <n v="10361"/>
        <n v="3936"/>
        <n v="2351"/>
        <n v="852"/>
        <n v="11428"/>
        <n v="12605"/>
        <n v="4977"/>
        <n v="18"/>
        <n v="30204"/>
        <n v="34896"/>
        <n v="34838"/>
        <n v="7778"/>
        <n v="842"/>
        <n v="191"/>
        <n v="1923"/>
        <n v="1025"/>
        <n v="6386"/>
        <n v="6920"/>
        <n v="81212"/>
        <n v="4682"/>
        <n v="66"/>
        <n v="922"/>
        <n v="190314"/>
        <n v="29801"/>
        <n v="1374"/>
        <n v="13"/>
        <n v="23"/>
        <n v="32455"/>
        <n v="6257"/>
        <n v="181"/>
        <n v="4365"/>
        <n v="12"/>
        <n v="5039"/>
        <n v="3329"/>
        <n v="1823"/>
        <n v="951166"/>
        <n v="58173"/>
        <n v="255144"/>
        <n v="77144"/>
        <n v="23364"/>
        <n v="27133"/>
        <n v="198593"/>
        <n v="714"/>
        <n v="21970"/>
        <n v="1041"/>
        <n v="54404"/>
        <n v="7833"/>
        <n v="4027"/>
        <n v="55057"/>
        <n v="21205"/>
        <n v="19"/>
        <n v="1045"/>
        <n v="1709"/>
        <n v="128"/>
        <n v="646"/>
        <n v="577"/>
        <n v="81"/>
        <n v="1620"/>
        <n v="4825"/>
        <n v="6260"/>
        <n v="1645"/>
        <n v="8601"/>
        <n v="2547"/>
        <n v="1913"/>
        <n v="665"/>
        <n v="4653"/>
        <n v="332"/>
        <n v="303810"/>
        <n v="16154"/>
        <n v="104"/>
        <n v="222"/>
        <n v="809"/>
        <n v="16553"/>
        <n v="101"/>
        <n v="13754"/>
        <n v="189"/>
        <n v="1514"/>
        <n v="2492"/>
        <n v="1027"/>
        <n v="18203"/>
        <n v="5564"/>
        <n v="8752"/>
        <n v="57028"/>
        <n v="241026"/>
        <n v="35086"/>
        <n v="11"/>
        <n v="2905"/>
        <n v="272547"/>
        <n v="26446"/>
        <n v="32856"/>
        <n v="35375"/>
        <n v="106328"/>
        <n v="25794"/>
        <n v="602249"/>
        <n v="975"/>
        <n v="15"/>
        <n v="22"/>
        <n v="39"/>
        <n v="657"/>
        <n v="734"/>
        <n v="222936"/>
        <n v="6477"/>
        <n v="1317"/>
        <n v="45692"/>
        <n v="1616"/>
        <n v="1733"/>
        <n v="1543"/>
        <n v="274925"/>
        <n v="13007"/>
        <n v="1175"/>
        <n v="150376"/>
        <n v="2121"/>
        <n v="5939"/>
        <n v="925"/>
        <n v="30900"/>
        <n v="440"/>
        <n v="6028"/>
        <n v="183"/>
        <n v="3111"/>
        <n v="607"/>
        <n v="1157"/>
        <n v="210469"/>
        <n v="1325804"/>
        <n v="986"/>
        <n v="37202"/>
        <n v="52510"/>
        <n v="1437"/>
        <n v="951"/>
        <n v="11674"/>
        <n v="9959"/>
        <n v="365"/>
        <n v="3752"/>
        <n v="8"/>
        <n v="833"/>
        <n v="2815"/>
        <n v="542"/>
      </sharedItems>
    </cacheField>
    <cacheField name="Active" numFmtId="1">
      <sharedItems containsSemiMixedTypes="0" containsString="0" containsNumber="1" containsInteger="1" minValue="0" maxValue="2816444" count="173">
        <n v="9796"/>
        <n v="1991"/>
        <n v="7973"/>
        <n v="52"/>
        <n v="667"/>
        <n v="18"/>
        <n v="91782"/>
        <n v="10014"/>
        <n v="5825"/>
        <n v="1599"/>
        <n v="6781"/>
        <n v="280"/>
        <n v="3231"/>
        <n v="97577"/>
        <n v="9"/>
        <n v="6221"/>
        <n v="39154"/>
        <n v="20"/>
        <n v="699"/>
        <n v="13"/>
        <n v="47056"/>
        <n v="5274"/>
        <n v="674"/>
        <n v="508116"/>
        <n v="0"/>
        <n v="4689"/>
        <n v="121"/>
        <n v="76"/>
        <n v="756"/>
        <n v="79"/>
        <n v="2180"/>
        <n v="107514"/>
        <n v="2994"/>
        <n v="37"/>
        <n v="18782"/>
        <n v="3258"/>
        <n v="117163"/>
        <n v="19"/>
        <n v="2317"/>
        <n v="2936"/>
        <n v="11902"/>
        <n v="5198"/>
        <n v="806"/>
        <n v="94"/>
        <n v="189"/>
        <n v="3715"/>
        <n v="543"/>
        <n v="24"/>
        <n v="32869"/>
        <n v="40733"/>
        <n v="52992"/>
        <n v="6849"/>
        <n v="2178"/>
        <n v="74"/>
        <n v="42"/>
        <n v="1257"/>
        <n v="7933"/>
        <n v="149"/>
        <n v="108928"/>
        <n v="2458"/>
        <n v="252"/>
        <n v="199"/>
        <n v="7673"/>
        <n v="3655"/>
        <n v="2651"/>
        <n v="1"/>
        <n v="11093"/>
        <n v="753"/>
        <n v="1125"/>
        <n v="188"/>
        <n v="2817"/>
        <n v="33536"/>
        <n v="523"/>
        <n v="21"/>
        <n v="495499"/>
        <n v="37292"/>
        <n v="22550"/>
        <n v="30983"/>
        <n v="764"/>
        <n v="36378"/>
        <n v="12581"/>
        <n v="129"/>
        <n v="8174"/>
        <n v="124"/>
        <n v="29659"/>
        <n v="9857"/>
        <n v="3201"/>
        <n v="8884"/>
        <n v="10790"/>
        <n v="143"/>
        <n v="2122"/>
        <n v="365"/>
        <n v="449"/>
        <n v="2186"/>
        <n v="4"/>
        <n v="319"/>
        <n v="1384"/>
        <n v="3339"/>
        <n v="1920"/>
        <n v="179"/>
        <n v="807"/>
        <n v="476"/>
        <n v="27"/>
        <n v="1399"/>
        <n v="2"/>
        <n v="47657"/>
        <n v="6252"/>
        <n v="8"/>
        <n v="67"/>
        <n v="2039"/>
        <n v="4018"/>
        <n v="1690"/>
        <n v="1734"/>
        <n v="4950"/>
        <n v="47064"/>
        <n v="839"/>
        <n v="36"/>
        <n v="22117"/>
        <n v="4183"/>
        <n v="125"/>
        <n v="19637"/>
        <n v="27421"/>
        <n v="25034"/>
        <n v="51"/>
        <n v="1600"/>
        <n v="98752"/>
        <n v="53649"/>
        <n v="8870"/>
        <n v="13205"/>
        <n v="3104"/>
        <n v="17902"/>
        <n v="201097"/>
        <n v="899"/>
        <n v="117"/>
        <n v="43238"/>
        <n v="3093"/>
        <n v="23598"/>
        <n v="75"/>
        <n v="400"/>
        <n v="5119"/>
        <n v="537"/>
        <n v="238"/>
        <n v="1560"/>
        <n v="170537"/>
        <n v="896"/>
        <n v="1084"/>
        <n v="93613"/>
        <n v="673"/>
        <n v="4765"/>
        <n v="534"/>
        <n v="73695"/>
        <n v="634"/>
        <n v="15"/>
        <n v="1147"/>
        <n v="305"/>
        <n v="128"/>
        <n v="249"/>
        <n v="12"/>
        <n v="248"/>
        <n v="10920"/>
        <n v="2816444"/>
        <n v="140"/>
        <n v="28258"/>
        <n v="6322"/>
        <n v="254427"/>
        <n v="216"/>
        <n v="9414"/>
        <n v="5883"/>
        <n v="66"/>
        <n v="6791"/>
        <n v="375"/>
        <n v="1597"/>
        <n v="2126"/>
      </sharedItems>
    </cacheField>
    <cacheField name="New cases" numFmtId="1">
      <sharedItems containsSemiMixedTypes="0" containsString="0" containsNumber="1" containsInteger="1" minValue="0" maxValue="56336" count="122">
        <n v="106"/>
        <n v="117"/>
        <n v="616"/>
        <n v="10"/>
        <n v="18"/>
        <n v="4"/>
        <n v="4890"/>
        <n v="73"/>
        <n v="368"/>
        <n v="86"/>
        <n v="396"/>
        <n v="40"/>
        <n v="351"/>
        <n v="2772"/>
        <n v="0"/>
        <n v="119"/>
        <n v="402"/>
        <n v="1752"/>
        <n v="731"/>
        <n v="53"/>
        <n v="23284"/>
        <n v="194"/>
        <n v="14"/>
        <n v="17"/>
        <n v="21"/>
        <n v="1"/>
        <n v="682"/>
        <n v="7"/>
        <n v="2133"/>
        <n v="213"/>
        <n v="16306"/>
        <n v="162"/>
        <n v="13"/>
        <n v="612"/>
        <n v="59"/>
        <n v="24"/>
        <n v="37"/>
        <n v="3"/>
        <n v="192"/>
        <n v="109"/>
        <n v="9"/>
        <n v="1248"/>
        <n v="467"/>
        <n v="420"/>
        <n v="405"/>
        <n v="2"/>
        <n v="579"/>
        <n v="5"/>
        <n v="2551"/>
        <n v="205"/>
        <n v="49"/>
        <n v="6"/>
        <n v="445"/>
        <n v="655"/>
        <n v="34"/>
        <n v="256"/>
        <n v="47"/>
        <n v="19"/>
        <n v="25"/>
        <n v="465"/>
        <n v="44457"/>
        <n v="1525"/>
        <n v="2434"/>
        <n v="2553"/>
        <n v="11"/>
        <n v="2029"/>
        <n v="168"/>
        <n v="594"/>
        <n v="8"/>
        <n v="1526"/>
        <n v="372"/>
        <n v="496"/>
        <n v="606"/>
        <n v="483"/>
        <n v="132"/>
        <n v="158"/>
        <n v="395"/>
        <n v="67"/>
        <n v="4973"/>
        <n v="120"/>
        <n v="94"/>
        <n v="609"/>
        <n v="32"/>
        <n v="68"/>
        <n v="139"/>
        <n v="419"/>
        <n v="648"/>
        <n v="127"/>
        <n v="15"/>
        <n v="1053"/>
        <n v="1176"/>
        <n v="1146"/>
        <n v="104"/>
        <n v="13756"/>
        <n v="1592"/>
        <n v="337"/>
        <n v="135"/>
        <n v="292"/>
        <n v="1104"/>
        <n v="5607"/>
        <n v="58"/>
        <n v="1993"/>
        <n v="83"/>
        <n v="411"/>
        <n v="469"/>
        <n v="7096"/>
        <n v="28"/>
        <n v="43"/>
        <n v="23"/>
        <n v="39"/>
        <n v="44"/>
        <n v="398"/>
        <n v="65"/>
        <n v="919"/>
        <n v="56336"/>
        <n v="835"/>
        <n v="264"/>
        <n v="688"/>
        <n v="678"/>
        <n v="525"/>
        <n v="152"/>
        <n v="71"/>
      </sharedItems>
    </cacheField>
    <cacheField name="New deaths" numFmtId="1">
      <sharedItems containsSemiMixedTypes="0" containsString="0" containsNumber="1" containsInteger="1" minValue="0" maxValue="1076" count="38">
        <n v="10"/>
        <n v="6"/>
        <n v="8"/>
        <n v="0"/>
        <n v="1"/>
        <n v="120"/>
        <n v="37"/>
        <n v="4"/>
        <n v="64"/>
        <n v="14"/>
        <n v="614"/>
        <n v="7"/>
        <n v="11"/>
        <n v="75"/>
        <n v="508"/>
        <n v="3"/>
        <n v="2"/>
        <n v="20"/>
        <n v="17"/>
        <n v="46"/>
        <n v="5"/>
        <n v="27"/>
        <n v="50"/>
        <n v="637"/>
        <n v="57"/>
        <n v="212"/>
        <n v="96"/>
        <n v="16"/>
        <n v="24"/>
        <n v="342"/>
        <n v="13"/>
        <n v="9"/>
        <n v="28"/>
        <n v="575"/>
        <n v="19"/>
        <n v="85"/>
        <n v="298"/>
        <n v="1076"/>
      </sharedItems>
    </cacheField>
    <cacheField name="New recovered" numFmtId="1">
      <sharedItems containsSemiMixedTypes="0" containsString="0" containsNumber="1" containsInteger="1" minValue="0" maxValue="33728" count="103">
        <n v="18"/>
        <n v="63"/>
        <n v="749"/>
        <n v="0"/>
        <n v="5"/>
        <n v="2057"/>
        <n v="187"/>
        <n v="137"/>
        <n v="37"/>
        <n v="558"/>
        <n v="421"/>
        <n v="1801"/>
        <n v="67"/>
        <n v="14"/>
        <n v="1"/>
        <n v="309"/>
        <n v="375"/>
        <n v="11"/>
        <n v="33728"/>
        <n v="230"/>
        <n v="6"/>
        <n v="2"/>
        <n v="22"/>
        <n v="103"/>
        <n v="4"/>
        <n v="1859"/>
        <n v="7"/>
        <n v="11494"/>
        <n v="73"/>
        <n v="190"/>
        <n v="88"/>
        <n v="183"/>
        <n v="70"/>
        <n v="77"/>
        <n v="1601"/>
        <n v="1007"/>
        <n v="130"/>
        <n v="39"/>
        <n v="170"/>
        <n v="267"/>
        <n v="219"/>
        <n v="259"/>
        <n v="307"/>
        <n v="843"/>
        <n v="105"/>
        <n v="117"/>
        <n v="33598"/>
        <n v="1518"/>
        <n v="1931"/>
        <n v="1927"/>
        <n v="108"/>
        <n v="147"/>
        <n v="364"/>
        <n v="1833"/>
        <n v="90"/>
        <n v="274"/>
        <n v="684"/>
        <n v="817"/>
        <n v="17"/>
        <n v="24"/>
        <n v="178"/>
        <n v="681"/>
        <n v="19"/>
        <n v="223"/>
        <n v="8588"/>
        <n v="245"/>
        <n v="115"/>
        <n v="26"/>
        <n v="626"/>
        <n v="829"/>
        <n v="1729"/>
        <n v="3592"/>
        <n v="955"/>
        <n v="111"/>
        <n v="4697"/>
        <n v="336"/>
        <n v="158"/>
        <n v="304"/>
        <n v="151"/>
        <n v="3077"/>
        <n v="57"/>
        <n v="38"/>
        <n v="2613"/>
        <n v="68"/>
        <n v="171"/>
        <n v="55"/>
        <n v="9848"/>
        <n v="102"/>
        <n v="15"/>
        <n v="49"/>
        <n v="35"/>
        <n v="200"/>
        <n v="58"/>
        <n v="8"/>
        <n v="982"/>
        <n v="27941"/>
        <n v="317"/>
        <n v="328"/>
        <n v="3"/>
        <n v="569"/>
        <n v="213"/>
        <n v="36"/>
        <n v="465"/>
      </sharedItems>
    </cacheField>
    <cacheField name="Deaths / 100 Cases" numFmtId="2">
      <sharedItems containsSemiMixedTypes="0" containsString="0" containsNumber="1" minValue="0" maxValue="28.56" count="145">
        <n v="3.5"/>
        <n v="2.95"/>
        <n v="4.16"/>
        <n v="5.73"/>
        <n v="4.32"/>
        <n v="3.49"/>
        <n v="1.83"/>
        <n v="1.9"/>
        <n v="1.0900000000000001"/>
        <n v="3.47"/>
        <n v="1.39"/>
        <n v="2.88"/>
        <n v="0.36"/>
        <n v="1.31"/>
        <n v="6.36"/>
        <n v="0.8"/>
        <n v="14.79"/>
        <n v="4.17"/>
        <n v="1.98"/>
        <n v="0"/>
        <n v="3.72"/>
        <n v="2.8"/>
        <n v="0.27"/>
        <n v="3.59"/>
        <n v="2.13"/>
        <n v="3.27"/>
        <n v="4.82"/>
        <n v="1.71"/>
        <n v="0.26"/>
        <n v="0.95"/>
        <n v="2.29"/>
        <n v="7.68"/>
        <n v="1.28"/>
        <n v="8.1300000000000008"/>
        <n v="2.64"/>
        <n v="5.37"/>
        <n v="3.41"/>
        <n v="1.69"/>
        <n v="2.35"/>
        <n v="0.73"/>
        <n v="0.61"/>
        <n v="2.85"/>
        <n v="3.44"/>
        <n v="1.79"/>
        <n v="2.4"/>
        <n v="4.45"/>
        <n v="1.1499999999999999"/>
        <n v="6.82"/>
        <n v="5.03"/>
        <n v="2.71"/>
        <n v="1.66"/>
        <n v="3.39"/>
        <n v="1.47"/>
        <n v="1.57"/>
        <n v="13.71"/>
        <n v="0.68"/>
        <n v="2.4500000000000002"/>
        <n v="1.41"/>
        <n v="4.41"/>
        <n v="0.5"/>
        <n v="4.78"/>
        <n v="3.89"/>
        <n v="0.64"/>
        <n v="1.33"/>
        <n v="5.14"/>
        <n v="2.15"/>
        <n v="2.93"/>
        <n v="13.4"/>
        <n v="0.54"/>
        <n v="2.2599999999999998"/>
        <n v="5.42"/>
        <n v="3.96"/>
        <n v="6.81"/>
        <n v="0.74"/>
        <n v="14.26"/>
        <n v="1.17"/>
        <n v="3.2"/>
        <n v="0.94"/>
        <n v="0.69"/>
        <n v="1.59"/>
        <n v="2.5"/>
        <n v="3.91"/>
        <n v="2.54"/>
        <n v="2.38"/>
        <n v="6.17"/>
        <n v="1.1599999999999999"/>
        <n v="1.77"/>
        <n v="2.7"/>
        <n v="0.45"/>
        <n v="4.93"/>
        <n v="2.5099999999999998"/>
        <n v="2.91"/>
        <n v="11.13"/>
        <n v="3.23"/>
        <n v="3.45"/>
        <n v="1.56"/>
        <n v="1.51"/>
        <n v="0.65"/>
        <n v="0.43"/>
        <n v="11.53"/>
        <n v="3.14"/>
        <n v="6.1"/>
        <n v="2.09"/>
        <n v="4.5599999999999996"/>
        <n v="2.79"/>
        <n v="0.51"/>
        <n v="4.7300000000000004"/>
        <n v="2.37"/>
        <n v="3.86"/>
        <n v="3.42"/>
        <n v="0.15"/>
        <n v="4.8099999999999996"/>
        <n v="1.63"/>
        <n v="6.01"/>
        <n v="1.62"/>
        <n v="1.03"/>
        <n v="1.99"/>
        <n v="2.25"/>
        <n v="3.7"/>
        <n v="0.05"/>
        <n v="5.56"/>
        <n v="2.11"/>
        <n v="2"/>
        <n v="10.44"/>
        <n v="0.39"/>
        <n v="6.3"/>
        <n v="7.18"/>
        <n v="5.74"/>
        <n v="5.93"/>
        <n v="1.52"/>
        <n v="0.83"/>
        <n v="4.13"/>
        <n v="1.76"/>
        <n v="2.06"/>
        <n v="5.41"/>
        <n v="2.48"/>
        <n v="0.18"/>
        <n v="2.44"/>
        <n v="0.57999999999999996"/>
        <n v="15.19"/>
        <n v="0.56999999999999995"/>
        <n v="0.91"/>
        <n v="10"/>
        <n v="28.56"/>
        <n v="3.08"/>
      </sharedItems>
    </cacheField>
    <cacheField name="Recovered / 100 Cases" numFmtId="2">
      <sharedItems containsSemiMixedTypes="0" containsString="0" containsNumber="1" minValue="0" maxValue="100" count="177">
        <n v="69.489999999999995"/>
        <n v="56.25"/>
        <n v="67.34"/>
        <n v="88.53"/>
        <n v="25.47"/>
        <n v="75.58"/>
        <n v="43.35"/>
        <n v="71.319999999999993"/>
        <n v="60.84"/>
        <n v="88.75"/>
        <n v="76.34"/>
        <n v="23.82"/>
        <n v="91.46"/>
        <n v="55.56"/>
        <n v="85.45"/>
        <n v="89.95"/>
        <n v="26.27"/>
        <n v="54.17"/>
        <n v="58.53"/>
        <n v="86.87"/>
        <n v="30.17"/>
        <n v="46.96"/>
        <n v="8.5299999999999994"/>
        <n v="75.61"/>
        <n v="97.87"/>
        <n v="52.58"/>
        <n v="84.18"/>
        <n v="83.43"/>
        <n v="79.63"/>
        <n v="66.58"/>
        <n v="65.040000000000006"/>
        <n v="84.97"/>
        <n v="0"/>
        <n v="33.619999999999997"/>
        <n v="87.85"/>
        <n v="91.96"/>
        <n v="90.88"/>
        <n v="51.02"/>
        <n v="92.66"/>
        <n v="25.91"/>
        <n v="64.45"/>
        <n v="24.14"/>
        <n v="66.180000000000007"/>
        <n v="80.64"/>
        <n v="92.85"/>
        <n v="80.38"/>
        <n v="73.650000000000006"/>
        <n v="91.6"/>
        <n v="98.38"/>
        <n v="100"/>
        <n v="47.08"/>
        <n v="43"/>
        <n v="37.67"/>
        <n v="51.73"/>
        <n v="27.42"/>
        <n v="72.08"/>
        <n v="94.54"/>
        <n v="44.26"/>
        <n v="43.9"/>
        <n v="66.67"/>
        <n v="93.54"/>
        <n v="36.86"/>
        <n v="65.13"/>
        <n v="20.25"/>
        <n v="81.09"/>
        <n v="91.89"/>
        <n v="88.63"/>
        <n v="32.51"/>
        <n v="92.86"/>
        <n v="71.63"/>
        <n v="88.69"/>
        <n v="41.1"/>
        <n v="46.53"/>
        <n v="59.47"/>
        <n v="12.68"/>
        <n v="74.84"/>
        <n v="98.33"/>
        <n v="64.260000000000005"/>
        <n v="58"/>
        <n v="86.9"/>
        <n v="68.52"/>
        <n v="90.24"/>
        <n v="42.41"/>
        <n v="83.7"/>
        <n v="70.55"/>
        <n v="88.52"/>
        <n v="64.27"/>
        <n v="43.58"/>
        <n v="54.32"/>
        <n v="85.52"/>
        <n v="63.69"/>
        <n v="95"/>
        <n v="85.73"/>
        <n v="44.02"/>
        <n v="25.35"/>
        <n v="55.36"/>
        <n v="20.41"/>
        <n v="94.19"/>
        <n v="80.239999999999995"/>
        <n v="76.33"/>
        <n v="64.599999999999994"/>
        <n v="44.9"/>
        <n v="96.6"/>
        <n v="75.599999999999994"/>
        <n v="76.12"/>
        <n v="94.86"/>
        <n v="74.95"/>
        <n v="96.51"/>
        <n v="76.819999999999993"/>
        <n v="69.77"/>
        <n v="89.66"/>
        <n v="27.96"/>
        <n v="79.25"/>
        <n v="5.48"/>
        <n v="73.349999999999994"/>
        <n v="0.35"/>
        <n v="97.24"/>
        <n v="72.459999999999994"/>
        <n v="90.72"/>
        <n v="44.2"/>
        <n v="54.48"/>
        <n v="95.84"/>
        <n v="74.010000000000005"/>
        <n v="87.87"/>
        <n v="57.1"/>
        <n v="17.739999999999998"/>
        <n v="63.87"/>
        <n v="69.930000000000007"/>
        <n v="32.24"/>
        <n v="75.7"/>
        <n v="70.33"/>
        <n v="97.02"/>
        <n v="56.19"/>
        <n v="73.739999999999995"/>
        <n v="51.89"/>
        <n v="88.24"/>
        <n v="91.67"/>
        <n v="75"/>
        <n v="93.99"/>
        <n v="84.86"/>
        <n v="82.9"/>
        <n v="66.34"/>
        <n v="34.21"/>
        <n v="73.86"/>
        <n v="89.88"/>
        <n v="74.09"/>
        <n v="83.04"/>
        <n v="48.28"/>
        <n v="60.75"/>
        <n v="91.58"/>
        <n v="50.98"/>
        <n v="55.2"/>
        <n v="51.99"/>
        <n v="62.37"/>
        <n v="89.62"/>
        <n v="95.24"/>
        <n v="83.32"/>
        <n v="35.950000000000003"/>
        <n v="94.36"/>
        <n v="69.45"/>
        <n v="86.49"/>
        <n v="79.52"/>
        <n v="92.71"/>
        <n v="30.9"/>
        <n v="87.41"/>
        <n v="55.45"/>
        <n v="88.73"/>
        <n v="0.48"/>
        <n v="79.12"/>
        <n v="55.04"/>
        <n v="62.29"/>
        <n v="84.69"/>
        <n v="35.33"/>
        <n v="80"/>
        <n v="49.26"/>
        <n v="61.84"/>
        <n v="20.04"/>
      </sharedItems>
    </cacheField>
    <cacheField name="Deaths / 100 Recovered" numFmtId="2">
      <sharedItems containsMixedTypes="1" containsNumber="1" minValue="0" maxValue="3259.26" count="155">
        <n v="5.04"/>
        <n v="5.25"/>
        <n v="6.17"/>
        <n v="6.48"/>
        <n v="16.940000000000001"/>
        <n v="4.62"/>
        <n v="4.21"/>
        <n v="2.67"/>
        <n v="1.79"/>
        <n v="3.91"/>
        <n v="1.82"/>
        <n v="12.09"/>
        <n v="0.39"/>
        <n v="2.36"/>
        <n v="7.45"/>
        <n v="0.89"/>
        <n v="56.28"/>
        <n v="7.69"/>
        <n v="3.38"/>
        <n v="0"/>
        <n v="12.32"/>
        <n v="5.96"/>
        <n v="3.17"/>
        <n v="4.74"/>
        <n v="2.17"/>
        <n v="6.21"/>
        <n v="5.72"/>
        <n v="2.0499999999999998"/>
        <n v="0.33"/>
        <n v="1.42"/>
        <n v="2.69"/>
        <s v="inf"/>
        <n v="3.82"/>
        <n v="9.26"/>
        <n v="2.87"/>
        <n v="5.9"/>
        <n v="6.69"/>
        <n v="2.13"/>
        <n v="6.51"/>
        <n v="3.65"/>
        <n v="3.01"/>
        <n v="0.93"/>
        <n v="3.53"/>
        <n v="3.7"/>
        <n v="2.23"/>
        <n v="3.26"/>
        <n v="4.8600000000000003"/>
        <n v="1.17"/>
        <n v="3.59"/>
        <n v="15.85"/>
        <n v="13.35"/>
        <n v="6.06"/>
        <n v="3.32"/>
        <n v="3.57"/>
        <n v="4.75"/>
        <n v="37.200000000000003"/>
        <n v="1.05"/>
        <n v="12.12"/>
        <n v="1.74"/>
        <n v="4.79"/>
        <n v="0.56000000000000005"/>
        <n v="14.7"/>
        <n v="5.43"/>
        <n v="0.72"/>
        <n v="3.24"/>
        <n v="11.05"/>
        <n v="3.62"/>
        <n v="23.14"/>
        <n v="17.899999999999999"/>
        <n v="0.55000000000000004"/>
        <n v="3.51"/>
        <n v="8.32"/>
        <n v="6.24"/>
        <n v="5.78"/>
        <n v="7.55"/>
        <n v="1.75"/>
        <n v="17.68"/>
        <n v="1.4"/>
        <n v="4.54"/>
        <n v="1.06"/>
        <n v="1.08"/>
        <n v="3.64"/>
        <n v="4.59"/>
        <n v="0.8"/>
        <n v="6.14"/>
        <n v="2.97"/>
        <n v="2.98"/>
        <n v="9.3800000000000008"/>
        <n v="11.15"/>
        <n v="11.09"/>
        <n v="1.23"/>
        <n v="4.9400000000000004"/>
        <n v="2.3199999999999998"/>
        <n v="1.45"/>
        <n v="6.02"/>
        <n v="1.44"/>
        <n v="0.59"/>
        <n v="1.35"/>
        <n v="3.35"/>
        <n v="14.49"/>
        <n v="4.63"/>
        <n v="3.85"/>
        <n v="5.56"/>
        <n v="1.91"/>
        <n v="7.92"/>
        <n v="0.35"/>
        <n v="3259.26"/>
        <n v="4.33"/>
        <n v="6.72"/>
        <n v="4.72"/>
        <n v="8.3800000000000008"/>
        <n v="2.91"/>
        <n v="0.69"/>
        <n v="2.42"/>
        <n v="3.77"/>
        <n v="1.48"/>
        <n v="6.76"/>
        <n v="7.35"/>
        <n v="5.0999999999999996"/>
        <n v="0.16"/>
        <n v="8.5500000000000007"/>
        <n v="2.21"/>
        <n v="0.51"/>
        <n v="6.39"/>
        <n v="1.24"/>
        <n v="3"/>
        <n v="5.01"/>
        <n v="0.06"/>
        <n v="1.73"/>
        <n v="6.03"/>
        <n v="2.57"/>
        <n v="2.31"/>
        <n v="18.91"/>
        <n v="0.52"/>
        <n v="2.59"/>
        <n v="6.4"/>
        <n v="1.59"/>
        <n v="1"/>
        <n v="11.48"/>
        <n v="1.86"/>
        <n v="6.25"/>
        <n v="4.32"/>
        <n v="11.16"/>
        <n v="0.2"/>
        <n v="4.4000000000000004"/>
        <n v="0.66"/>
        <n v="3190.26"/>
        <n v="3.68"/>
        <n v="1.04"/>
        <n v="1.47"/>
        <n v="2.08"/>
        <n v="12.5"/>
        <n v="57.98"/>
        <n v="4.97"/>
        <n v="6.64"/>
      </sharedItems>
    </cacheField>
    <cacheField name="Confirmed last week" numFmtId="1">
      <sharedItems containsSemiMixedTypes="0" containsString="0" containsNumber="1" containsInteger="1" minValue="10" maxValue="3834677" count="183">
        <n v="35526"/>
        <n v="4171"/>
        <n v="23691"/>
        <n v="884"/>
        <n v="749"/>
        <n v="76"/>
        <n v="130774"/>
        <n v="34981"/>
        <n v="12428"/>
        <n v="19743"/>
        <n v="27890"/>
        <n v="174"/>
        <n v="36936"/>
        <n v="207453"/>
        <n v="106"/>
        <n v="66213"/>
        <n v="64094"/>
        <n v="40"/>
        <n v="1602"/>
        <n v="90"/>
        <n v="60991"/>
        <n v="8479"/>
        <n v="522"/>
        <n v="2118646"/>
        <n v="141"/>
        <n v="8929"/>
        <n v="1065"/>
        <n v="341"/>
        <n v="322"/>
        <n v="2071"/>
        <n v="171"/>
        <n v="16157"/>
        <n v="112925"/>
        <n v="4548"/>
        <n v="889"/>
        <n v="333029"/>
        <n v="85622"/>
        <n v="204005"/>
        <n v="334"/>
        <n v="2851"/>
        <n v="8443"/>
        <n v="11534"/>
        <n v="14312"/>
        <n v="4370"/>
        <n v="2446"/>
        <n v="1038"/>
        <n v="14098"/>
        <n v="13453"/>
        <n v="5020"/>
        <n v="18"/>
        <n v="53956"/>
        <n v="74620"/>
        <n v="88402"/>
        <n v="12207"/>
        <n v="3071"/>
        <n v="251"/>
        <n v="2021"/>
        <n v="1826"/>
        <n v="10207"/>
        <n v="27"/>
        <n v="7340"/>
        <n v="214023"/>
        <n v="6433"/>
        <n v="112"/>
        <n v="1039"/>
        <n v="203325"/>
        <n v="28430"/>
        <n v="4012"/>
        <n v="13"/>
        <n v="23"/>
        <n v="39039"/>
        <n v="6590"/>
        <n v="1949"/>
        <n v="337"/>
        <n v="7053"/>
        <n v="12"/>
        <n v="34611"/>
        <n v="4339"/>
        <n v="1839"/>
        <n v="1155338"/>
        <n v="88214"/>
        <n v="276202"/>
        <n v="94693"/>
        <n v="25766"/>
        <n v="52003"/>
        <n v="244624"/>
        <n v="809"/>
        <n v="25706"/>
        <n v="1223"/>
        <n v="73468"/>
        <n v="13771"/>
        <n v="5877"/>
        <n v="59763"/>
        <n v="27143"/>
        <n v="19"/>
        <n v="1192"/>
        <n v="2905"/>
        <n v="359"/>
        <n v="1107"/>
        <n v="1980"/>
        <n v="86"/>
        <n v="1947"/>
        <n v="5639"/>
        <n v="7153"/>
        <n v="2992"/>
        <n v="8800"/>
        <n v="2999"/>
        <n v="2475"/>
        <n v="677"/>
        <n v="5923"/>
        <n v="343"/>
        <n v="349396"/>
        <n v="21115"/>
        <n v="109"/>
        <n v="287"/>
        <n v="2188"/>
        <n v="17562"/>
        <n v="1507"/>
        <n v="1344"/>
        <n v="17844"/>
        <n v="52132"/>
        <n v="1555"/>
        <n v="3147"/>
        <n v="1105"/>
        <n v="37225"/>
        <n v="9249"/>
        <n v="9034"/>
        <n v="68400"/>
        <n v="266096"/>
        <n v="54426"/>
        <n v="3748"/>
        <n v="357681"/>
        <n v="68898"/>
        <n v="40383"/>
        <n v="48771"/>
        <n v="107037"/>
        <n v="38139"/>
        <n v="776212"/>
        <n v="1629"/>
        <n v="17"/>
        <n v="50"/>
        <n v="699"/>
        <n v="746"/>
        <n v="253349"/>
        <n v="8948"/>
        <n v="21253"/>
        <n v="108"/>
        <n v="1711"/>
        <n v="48035"/>
        <n v="1953"/>
        <n v="3130"/>
        <n v="373628"/>
        <n v="13816"/>
        <n v="2211"/>
        <n v="264836"/>
        <n v="2730"/>
        <n v="10992"/>
        <n v="1079"/>
        <n v="78048"/>
        <n v="33634"/>
        <n v="451"/>
        <n v="6921"/>
        <n v="509"/>
        <n v="3250"/>
        <n v="24"/>
        <n v="783"/>
        <n v="137"/>
        <n v="1381"/>
        <n v="220572"/>
        <n v="3834677"/>
        <n v="1069"/>
        <n v="60767"/>
        <n v="57193"/>
        <n v="296944"/>
        <n v="1064"/>
        <n v="17149"/>
        <n v="12334"/>
        <n v="384"/>
        <n v="8916"/>
        <n v="10"/>
        <n v="1619"/>
        <n v="3326"/>
        <n v="1713"/>
      </sharedItems>
    </cacheField>
    <cacheField name="1 week change" numFmtId="1">
      <sharedItems containsSemiMixedTypes="0" containsString="0" containsNumber="1" containsInteger="1" minValue="-47" maxValue="455582" count="162">
        <n v="737"/>
        <n v="709"/>
        <n v="4282"/>
        <n v="23"/>
        <n v="201"/>
        <n v="10"/>
        <n v="36642"/>
        <n v="2409"/>
        <n v="2875"/>
        <n v="815"/>
        <n v="2556"/>
        <n v="208"/>
        <n v="2546"/>
        <n v="18772"/>
        <n v="4"/>
        <n v="1038"/>
        <n v="2334"/>
        <n v="8"/>
        <n v="168"/>
        <n v="9"/>
        <n v="10190"/>
        <n v="2019"/>
        <n v="217"/>
        <n v="323729"/>
        <n v="0"/>
        <n v="1692"/>
        <n v="35"/>
        <n v="56"/>
        <n v="257"/>
        <n v="55"/>
        <n v="953"/>
        <n v="3533"/>
        <n v="51"/>
        <n v="33"/>
        <n v="14894"/>
        <n v="1161"/>
        <n v="53096"/>
        <n v="20"/>
        <n v="349"/>
        <n v="401"/>
        <n v="4307"/>
        <n v="1343"/>
        <n v="511"/>
        <n v="86"/>
        <n v="22"/>
        <n v="1418"/>
        <n v="308"/>
        <n v="39"/>
        <n v="10200"/>
        <n v="6541"/>
        <n v="4080"/>
        <n v="2828"/>
        <n v="14"/>
        <n v="13"/>
        <n v="490"/>
        <n v="4340"/>
        <n v="58"/>
        <n v="6329"/>
        <n v="756"/>
        <n v="214"/>
        <n v="98"/>
        <n v="3787"/>
        <n v="5194"/>
        <n v="215"/>
        <n v="1"/>
        <n v="6270"/>
        <n v="465"/>
        <n v="5"/>
        <n v="52"/>
        <n v="287"/>
        <n v="5130"/>
        <n v="109"/>
        <n v="15"/>
        <n v="324735"/>
        <n v="12089"/>
        <n v="17404"/>
        <n v="17892"/>
        <n v="126"/>
        <n v="11982"/>
        <n v="1662"/>
        <n v="44"/>
        <n v="5436"/>
        <n v="-47"/>
        <n v="11180"/>
        <n v="4204"/>
        <n v="1536"/>
        <n v="4616"/>
        <n v="6153"/>
        <n v="27"/>
        <n v="977"/>
        <n v="146"/>
        <n v="60"/>
        <n v="847"/>
        <n v="72"/>
        <n v="682"/>
        <n v="2537"/>
        <n v="672"/>
        <n v="104"/>
        <n v="370"/>
        <n v="38"/>
        <n v="24"/>
        <n v="285"/>
        <n v="46093"/>
        <n v="2039"/>
        <n v="7"/>
        <n v="2"/>
        <n v="705"/>
        <n v="3325"/>
        <n v="194"/>
        <n v="499"/>
        <n v="908"/>
        <n v="1281"/>
        <n v="292"/>
        <n v="3955"/>
        <n v="964"/>
        <n v="8658"/>
        <n v="8193"/>
        <n v="7016"/>
        <n v="43"/>
        <n v="800"/>
        <n v="32036"/>
        <n v="13142"/>
        <n v="3019"/>
        <n v="1528"/>
        <n v="2560"/>
        <n v="7763"/>
        <n v="40468"/>
        <n v="250"/>
        <n v="119"/>
        <n v="15585"/>
        <n v="816"/>
        <n v="2888"/>
        <n v="6"/>
        <n v="2803"/>
        <n v="134"/>
        <n v="66"/>
        <n v="78901"/>
        <n v="387"/>
        <n v="94"/>
        <n v="7585"/>
        <n v="75"/>
        <n v="432"/>
        <n v="404"/>
        <n v="1347"/>
        <n v="843"/>
        <n v="152"/>
        <n v="11"/>
        <n v="314"/>
        <n v="47"/>
        <n v="91"/>
        <n v="74"/>
        <n v="6447"/>
        <n v="455582"/>
        <n v="59"/>
        <n v="1984"/>
        <n v="4764"/>
        <n v="138"/>
        <n v="4060"/>
        <n v="3654"/>
        <n v="1705"/>
        <n v="1226"/>
        <n v="991"/>
      </sharedItems>
    </cacheField>
    <cacheField name="1 week % increase" numFmtId="2">
      <sharedItems containsSemiMixedTypes="0" containsString="0" containsNumber="1" minValue="-3.84" maxValue="226.32" count="169">
        <n v="2.0699999999999998"/>
        <n v="17"/>
        <n v="18.07"/>
        <n v="2.6"/>
        <n v="26.84"/>
        <n v="13.16"/>
        <n v="28.02"/>
        <n v="6.89"/>
        <n v="23.13"/>
        <n v="4.13"/>
        <n v="9.16"/>
        <n v="119.54"/>
        <n v="9.0500000000000007"/>
        <n v="3.77"/>
        <n v="1.57"/>
        <n v="3.64"/>
        <n v="20"/>
        <n v="10.49"/>
        <n v="10"/>
        <n v="16.71"/>
        <n v="23.81"/>
        <n v="41.57"/>
        <n v="15.28"/>
        <n v="0"/>
        <n v="18.95"/>
        <n v="3.29"/>
        <n v="2.64"/>
        <n v="17.39"/>
        <n v="12.41"/>
        <n v="32.159999999999997"/>
        <n v="5.9"/>
        <n v="3.13"/>
        <n v="1.1200000000000001"/>
        <n v="3.71"/>
        <n v="4.47"/>
        <n v="1.36"/>
        <n v="26.03"/>
        <n v="5.99"/>
        <n v="12.24"/>
        <n v="4.75"/>
        <n v="37.340000000000003"/>
        <n v="9.3800000000000008"/>
        <n v="11.69"/>
        <n v="3.52"/>
        <n v="2.12"/>
        <n v="10.06"/>
        <n v="2.29"/>
        <n v="0.78"/>
        <n v="18.899999999999999"/>
        <n v="8.77"/>
        <n v="4.62"/>
        <n v="23.17"/>
        <n v="5.58"/>
        <n v="0.64"/>
        <n v="26.83"/>
        <n v="42.52"/>
        <n v="0.79"/>
        <n v="2.96"/>
        <n v="11.75"/>
        <n v="191.07"/>
        <n v="9.43"/>
        <n v="1.86"/>
        <n v="18.27"/>
        <n v="5.36"/>
        <n v="7.69"/>
        <n v="16.059999999999999"/>
        <n v="7.06"/>
        <n v="0.26"/>
        <n v="15.43"/>
        <n v="4.07"/>
        <n v="14.82"/>
        <n v="2.5099999999999998"/>
        <n v="0.82"/>
        <n v="28.11"/>
        <n v="13.7"/>
        <n v="6.3"/>
        <n v="18.89"/>
        <n v="0.49"/>
        <n v="23.04"/>
        <n v="0.68"/>
        <n v="5.44"/>
        <n v="21.15"/>
        <n v="-3.84"/>
        <n v="15.22"/>
        <n v="30.53"/>
        <n v="26.14"/>
        <n v="7.72"/>
        <n v="22.67"/>
        <n v="5.26"/>
        <n v="2.27"/>
        <n v="33.630000000000003"/>
        <n v="40.67"/>
        <n v="5.42"/>
        <n v="42.78"/>
        <n v="3.7"/>
        <n v="12.09"/>
        <n v="35.47"/>
        <n v="22.46"/>
        <n v="1.18"/>
        <n v="12.34"/>
        <n v="1.54"/>
        <n v="3.55"/>
        <n v="4.8099999999999996"/>
        <n v="0.28999999999999998"/>
        <n v="13.19"/>
        <n v="9.66"/>
        <n v="6.42"/>
        <n v="0.7"/>
        <n v="32.22"/>
        <n v="18.93"/>
        <n v="12.87"/>
        <n v="37.130000000000003"/>
        <n v="5.09"/>
        <n v="2.46"/>
        <n v="0.13"/>
        <n v="9.2799999999999994"/>
        <n v="2.44"/>
        <n v="10.62"/>
        <n v="10.42"/>
        <n v="1.08"/>
        <n v="12.66"/>
        <n v="3.08"/>
        <n v="12.89"/>
        <n v="226.32"/>
        <n v="21.34"/>
        <n v="8.9600000000000009"/>
        <n v="19.07"/>
        <n v="7.48"/>
        <n v="2.39"/>
        <n v="20.350000000000001"/>
        <n v="5.21"/>
        <n v="15.35"/>
        <n v="4.3499999999999996"/>
        <n v="4"/>
        <n v="15.95"/>
        <n v="6.15"/>
        <n v="9.1199999999999992"/>
        <n v="13.59"/>
        <n v="5.56"/>
        <n v="4.21"/>
        <n v="5.84"/>
        <n v="10.15"/>
        <n v="6.86"/>
        <n v="2.11"/>
        <n v="21.12"/>
        <n v="2.8"/>
        <n v="4.25"/>
        <n v="2.86"/>
        <n v="2.75"/>
        <n v="3.93"/>
        <n v="37.44"/>
        <n v="1.73"/>
        <n v="29.12"/>
        <n v="4.54"/>
        <n v="1.45"/>
        <n v="11.62"/>
        <n v="8.0299999999999994"/>
        <n v="2.92"/>
        <n v="11.88"/>
        <n v="5.52"/>
        <n v="3.47"/>
        <n v="1.6"/>
        <n v="12.97"/>
        <n v="23.67"/>
        <n v="29.63"/>
        <n v="19.12"/>
        <n v="4.45"/>
        <n v="36.86"/>
        <n v="57.85"/>
      </sharedItems>
    </cacheField>
    <cacheField name="WHO Region" numFmtId="49">
      <sharedItems count="6">
        <s v="Eastern Mediterranean"/>
        <s v="Europe"/>
        <s v="Africa"/>
        <s v="Americas"/>
        <s v="Western Pacific"/>
        <s v="South-East Asia"/>
      </sharedItems>
    </cacheField>
  </cacheFields>
  <extLst>
    <ext xmlns:x14="http://schemas.microsoft.com/office/spreadsheetml/2009/9/main" uri="{725AE2AE-9491-48be-B2B4-4EB974FC3084}">
      <x14:pivotCacheDefinition pivotCacheId="24811749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7">
  <r>
    <x v="0"/>
    <x v="0"/>
    <x v="0"/>
    <x v="0"/>
    <x v="0"/>
    <x v="0"/>
    <x v="0"/>
    <x v="0"/>
    <x v="0"/>
    <x v="0"/>
    <x v="0"/>
    <x v="0"/>
    <x v="0"/>
    <x v="0"/>
    <x v="0"/>
  </r>
  <r>
    <x v="1"/>
    <x v="1"/>
    <x v="1"/>
    <x v="1"/>
    <x v="1"/>
    <x v="1"/>
    <x v="1"/>
    <x v="1"/>
    <x v="1"/>
    <x v="1"/>
    <x v="1"/>
    <x v="1"/>
    <x v="1"/>
    <x v="1"/>
    <x v="1"/>
  </r>
  <r>
    <x v="2"/>
    <x v="2"/>
    <x v="2"/>
    <x v="2"/>
    <x v="2"/>
    <x v="2"/>
    <x v="2"/>
    <x v="2"/>
    <x v="2"/>
    <x v="2"/>
    <x v="2"/>
    <x v="2"/>
    <x v="2"/>
    <x v="2"/>
    <x v="2"/>
  </r>
  <r>
    <x v="3"/>
    <x v="3"/>
    <x v="3"/>
    <x v="3"/>
    <x v="3"/>
    <x v="3"/>
    <x v="3"/>
    <x v="3"/>
    <x v="3"/>
    <x v="3"/>
    <x v="3"/>
    <x v="3"/>
    <x v="3"/>
    <x v="3"/>
    <x v="1"/>
  </r>
  <r>
    <x v="4"/>
    <x v="4"/>
    <x v="4"/>
    <x v="4"/>
    <x v="4"/>
    <x v="4"/>
    <x v="4"/>
    <x v="3"/>
    <x v="4"/>
    <x v="4"/>
    <x v="4"/>
    <x v="4"/>
    <x v="4"/>
    <x v="4"/>
    <x v="2"/>
  </r>
  <r>
    <x v="5"/>
    <x v="5"/>
    <x v="5"/>
    <x v="5"/>
    <x v="5"/>
    <x v="5"/>
    <x v="3"/>
    <x v="4"/>
    <x v="5"/>
    <x v="5"/>
    <x v="5"/>
    <x v="5"/>
    <x v="5"/>
    <x v="5"/>
    <x v="3"/>
  </r>
  <r>
    <x v="6"/>
    <x v="6"/>
    <x v="6"/>
    <x v="6"/>
    <x v="6"/>
    <x v="6"/>
    <x v="5"/>
    <x v="5"/>
    <x v="6"/>
    <x v="6"/>
    <x v="6"/>
    <x v="6"/>
    <x v="6"/>
    <x v="6"/>
    <x v="3"/>
  </r>
  <r>
    <x v="7"/>
    <x v="7"/>
    <x v="7"/>
    <x v="7"/>
    <x v="7"/>
    <x v="7"/>
    <x v="1"/>
    <x v="6"/>
    <x v="7"/>
    <x v="7"/>
    <x v="7"/>
    <x v="7"/>
    <x v="7"/>
    <x v="7"/>
    <x v="1"/>
  </r>
  <r>
    <x v="8"/>
    <x v="8"/>
    <x v="8"/>
    <x v="8"/>
    <x v="8"/>
    <x v="8"/>
    <x v="1"/>
    <x v="7"/>
    <x v="8"/>
    <x v="8"/>
    <x v="8"/>
    <x v="8"/>
    <x v="8"/>
    <x v="8"/>
    <x v="4"/>
  </r>
  <r>
    <x v="9"/>
    <x v="9"/>
    <x v="9"/>
    <x v="9"/>
    <x v="9"/>
    <x v="9"/>
    <x v="4"/>
    <x v="8"/>
    <x v="9"/>
    <x v="9"/>
    <x v="9"/>
    <x v="9"/>
    <x v="9"/>
    <x v="9"/>
    <x v="1"/>
  </r>
  <r>
    <x v="10"/>
    <x v="10"/>
    <x v="10"/>
    <x v="10"/>
    <x v="10"/>
    <x v="10"/>
    <x v="1"/>
    <x v="9"/>
    <x v="10"/>
    <x v="10"/>
    <x v="10"/>
    <x v="10"/>
    <x v="10"/>
    <x v="10"/>
    <x v="1"/>
  </r>
  <r>
    <x v="11"/>
    <x v="11"/>
    <x v="11"/>
    <x v="11"/>
    <x v="11"/>
    <x v="11"/>
    <x v="3"/>
    <x v="3"/>
    <x v="11"/>
    <x v="11"/>
    <x v="11"/>
    <x v="11"/>
    <x v="11"/>
    <x v="11"/>
    <x v="3"/>
  </r>
  <r>
    <x v="12"/>
    <x v="12"/>
    <x v="12"/>
    <x v="12"/>
    <x v="12"/>
    <x v="12"/>
    <x v="4"/>
    <x v="10"/>
    <x v="12"/>
    <x v="12"/>
    <x v="12"/>
    <x v="12"/>
    <x v="12"/>
    <x v="7"/>
    <x v="0"/>
  </r>
  <r>
    <x v="13"/>
    <x v="13"/>
    <x v="13"/>
    <x v="13"/>
    <x v="13"/>
    <x v="13"/>
    <x v="6"/>
    <x v="11"/>
    <x v="13"/>
    <x v="13"/>
    <x v="13"/>
    <x v="13"/>
    <x v="13"/>
    <x v="12"/>
    <x v="5"/>
  </r>
  <r>
    <x v="14"/>
    <x v="14"/>
    <x v="14"/>
    <x v="14"/>
    <x v="14"/>
    <x v="14"/>
    <x v="3"/>
    <x v="3"/>
    <x v="14"/>
    <x v="14"/>
    <x v="14"/>
    <x v="14"/>
    <x v="14"/>
    <x v="13"/>
    <x v="3"/>
  </r>
  <r>
    <x v="15"/>
    <x v="15"/>
    <x v="15"/>
    <x v="15"/>
    <x v="15"/>
    <x v="15"/>
    <x v="7"/>
    <x v="12"/>
    <x v="15"/>
    <x v="15"/>
    <x v="15"/>
    <x v="15"/>
    <x v="15"/>
    <x v="14"/>
    <x v="1"/>
  </r>
  <r>
    <x v="16"/>
    <x v="16"/>
    <x v="16"/>
    <x v="16"/>
    <x v="16"/>
    <x v="16"/>
    <x v="4"/>
    <x v="13"/>
    <x v="16"/>
    <x v="16"/>
    <x v="16"/>
    <x v="16"/>
    <x v="16"/>
    <x v="15"/>
    <x v="1"/>
  </r>
  <r>
    <x v="17"/>
    <x v="17"/>
    <x v="17"/>
    <x v="17"/>
    <x v="17"/>
    <x v="14"/>
    <x v="3"/>
    <x v="3"/>
    <x v="17"/>
    <x v="17"/>
    <x v="17"/>
    <x v="17"/>
    <x v="17"/>
    <x v="16"/>
    <x v="3"/>
  </r>
  <r>
    <x v="18"/>
    <x v="18"/>
    <x v="18"/>
    <x v="18"/>
    <x v="18"/>
    <x v="14"/>
    <x v="3"/>
    <x v="3"/>
    <x v="18"/>
    <x v="18"/>
    <x v="18"/>
    <x v="18"/>
    <x v="18"/>
    <x v="17"/>
    <x v="2"/>
  </r>
  <r>
    <x v="19"/>
    <x v="19"/>
    <x v="19"/>
    <x v="19"/>
    <x v="19"/>
    <x v="5"/>
    <x v="3"/>
    <x v="14"/>
    <x v="19"/>
    <x v="19"/>
    <x v="19"/>
    <x v="19"/>
    <x v="19"/>
    <x v="18"/>
    <x v="5"/>
  </r>
  <r>
    <x v="20"/>
    <x v="20"/>
    <x v="20"/>
    <x v="20"/>
    <x v="20"/>
    <x v="17"/>
    <x v="8"/>
    <x v="15"/>
    <x v="20"/>
    <x v="20"/>
    <x v="20"/>
    <x v="20"/>
    <x v="20"/>
    <x v="19"/>
    <x v="3"/>
  </r>
  <r>
    <x v="21"/>
    <x v="21"/>
    <x v="21"/>
    <x v="21"/>
    <x v="21"/>
    <x v="18"/>
    <x v="9"/>
    <x v="16"/>
    <x v="21"/>
    <x v="21"/>
    <x v="21"/>
    <x v="21"/>
    <x v="21"/>
    <x v="20"/>
    <x v="1"/>
  </r>
  <r>
    <x v="22"/>
    <x v="22"/>
    <x v="17"/>
    <x v="22"/>
    <x v="22"/>
    <x v="19"/>
    <x v="4"/>
    <x v="17"/>
    <x v="22"/>
    <x v="22"/>
    <x v="22"/>
    <x v="22"/>
    <x v="22"/>
    <x v="21"/>
    <x v="2"/>
  </r>
  <r>
    <x v="23"/>
    <x v="23"/>
    <x v="22"/>
    <x v="23"/>
    <x v="23"/>
    <x v="20"/>
    <x v="10"/>
    <x v="18"/>
    <x v="23"/>
    <x v="23"/>
    <x v="23"/>
    <x v="23"/>
    <x v="23"/>
    <x v="22"/>
    <x v="3"/>
  </r>
  <r>
    <x v="24"/>
    <x v="24"/>
    <x v="5"/>
    <x v="24"/>
    <x v="24"/>
    <x v="14"/>
    <x v="3"/>
    <x v="3"/>
    <x v="24"/>
    <x v="24"/>
    <x v="24"/>
    <x v="24"/>
    <x v="24"/>
    <x v="23"/>
    <x v="4"/>
  </r>
  <r>
    <x v="25"/>
    <x v="25"/>
    <x v="23"/>
    <x v="25"/>
    <x v="25"/>
    <x v="21"/>
    <x v="11"/>
    <x v="19"/>
    <x v="25"/>
    <x v="25"/>
    <x v="25"/>
    <x v="25"/>
    <x v="25"/>
    <x v="24"/>
    <x v="1"/>
  </r>
  <r>
    <x v="26"/>
    <x v="26"/>
    <x v="24"/>
    <x v="26"/>
    <x v="26"/>
    <x v="22"/>
    <x v="3"/>
    <x v="20"/>
    <x v="26"/>
    <x v="26"/>
    <x v="26"/>
    <x v="26"/>
    <x v="26"/>
    <x v="25"/>
    <x v="2"/>
  </r>
  <r>
    <x v="27"/>
    <x v="27"/>
    <x v="25"/>
    <x v="27"/>
    <x v="3"/>
    <x v="14"/>
    <x v="3"/>
    <x v="21"/>
    <x v="27"/>
    <x v="27"/>
    <x v="27"/>
    <x v="27"/>
    <x v="19"/>
    <x v="26"/>
    <x v="5"/>
  </r>
  <r>
    <x v="28"/>
    <x v="28"/>
    <x v="26"/>
    <x v="28"/>
    <x v="27"/>
    <x v="23"/>
    <x v="3"/>
    <x v="22"/>
    <x v="28"/>
    <x v="28"/>
    <x v="28"/>
    <x v="28"/>
    <x v="27"/>
    <x v="27"/>
    <x v="2"/>
  </r>
  <r>
    <x v="29"/>
    <x v="29"/>
    <x v="27"/>
    <x v="29"/>
    <x v="28"/>
    <x v="24"/>
    <x v="3"/>
    <x v="23"/>
    <x v="29"/>
    <x v="29"/>
    <x v="29"/>
    <x v="29"/>
    <x v="28"/>
    <x v="28"/>
    <x v="2"/>
  </r>
  <r>
    <x v="30"/>
    <x v="30"/>
    <x v="19"/>
    <x v="30"/>
    <x v="29"/>
    <x v="25"/>
    <x v="3"/>
    <x v="24"/>
    <x v="19"/>
    <x v="30"/>
    <x v="19"/>
    <x v="30"/>
    <x v="29"/>
    <x v="29"/>
    <x v="4"/>
  </r>
  <r>
    <x v="31"/>
    <x v="31"/>
    <x v="28"/>
    <x v="31"/>
    <x v="30"/>
    <x v="16"/>
    <x v="1"/>
    <x v="3"/>
    <x v="30"/>
    <x v="31"/>
    <x v="30"/>
    <x v="31"/>
    <x v="30"/>
    <x v="30"/>
    <x v="2"/>
  </r>
  <r>
    <x v="32"/>
    <x v="32"/>
    <x v="29"/>
    <x v="32"/>
    <x v="31"/>
    <x v="26"/>
    <x v="12"/>
    <x v="3"/>
    <x v="31"/>
    <x v="32"/>
    <x v="31"/>
    <x v="32"/>
    <x v="31"/>
    <x v="31"/>
    <x v="3"/>
  </r>
  <r>
    <x v="33"/>
    <x v="33"/>
    <x v="30"/>
    <x v="33"/>
    <x v="32"/>
    <x v="14"/>
    <x v="3"/>
    <x v="3"/>
    <x v="32"/>
    <x v="33"/>
    <x v="32"/>
    <x v="33"/>
    <x v="32"/>
    <x v="32"/>
    <x v="2"/>
  </r>
  <r>
    <x v="34"/>
    <x v="34"/>
    <x v="31"/>
    <x v="34"/>
    <x v="33"/>
    <x v="27"/>
    <x v="3"/>
    <x v="3"/>
    <x v="33"/>
    <x v="34"/>
    <x v="33"/>
    <x v="34"/>
    <x v="33"/>
    <x v="33"/>
    <x v="2"/>
  </r>
  <r>
    <x v="35"/>
    <x v="35"/>
    <x v="32"/>
    <x v="35"/>
    <x v="34"/>
    <x v="28"/>
    <x v="13"/>
    <x v="25"/>
    <x v="34"/>
    <x v="35"/>
    <x v="34"/>
    <x v="35"/>
    <x v="34"/>
    <x v="34"/>
    <x v="3"/>
  </r>
  <r>
    <x v="36"/>
    <x v="36"/>
    <x v="33"/>
    <x v="36"/>
    <x v="35"/>
    <x v="29"/>
    <x v="7"/>
    <x v="26"/>
    <x v="35"/>
    <x v="36"/>
    <x v="35"/>
    <x v="36"/>
    <x v="35"/>
    <x v="35"/>
    <x v="4"/>
  </r>
  <r>
    <x v="37"/>
    <x v="37"/>
    <x v="34"/>
    <x v="37"/>
    <x v="36"/>
    <x v="30"/>
    <x v="14"/>
    <x v="27"/>
    <x v="36"/>
    <x v="37"/>
    <x v="36"/>
    <x v="37"/>
    <x v="36"/>
    <x v="36"/>
    <x v="3"/>
  </r>
  <r>
    <x v="38"/>
    <x v="38"/>
    <x v="14"/>
    <x v="38"/>
    <x v="37"/>
    <x v="14"/>
    <x v="3"/>
    <x v="3"/>
    <x v="18"/>
    <x v="38"/>
    <x v="37"/>
    <x v="38"/>
    <x v="37"/>
    <x v="37"/>
    <x v="2"/>
  </r>
  <r>
    <x v="39"/>
    <x v="39"/>
    <x v="35"/>
    <x v="39"/>
    <x v="38"/>
    <x v="31"/>
    <x v="15"/>
    <x v="28"/>
    <x v="37"/>
    <x v="39"/>
    <x v="38"/>
    <x v="39"/>
    <x v="38"/>
    <x v="38"/>
    <x v="2"/>
  </r>
  <r>
    <x v="40"/>
    <x v="40"/>
    <x v="36"/>
    <x v="40"/>
    <x v="39"/>
    <x v="32"/>
    <x v="7"/>
    <x v="29"/>
    <x v="38"/>
    <x v="40"/>
    <x v="39"/>
    <x v="40"/>
    <x v="39"/>
    <x v="39"/>
    <x v="2"/>
  </r>
  <r>
    <x v="41"/>
    <x v="41"/>
    <x v="37"/>
    <x v="41"/>
    <x v="40"/>
    <x v="33"/>
    <x v="12"/>
    <x v="30"/>
    <x v="39"/>
    <x v="41"/>
    <x v="40"/>
    <x v="41"/>
    <x v="40"/>
    <x v="40"/>
    <x v="3"/>
  </r>
  <r>
    <x v="42"/>
    <x v="42"/>
    <x v="38"/>
    <x v="42"/>
    <x v="41"/>
    <x v="34"/>
    <x v="3"/>
    <x v="31"/>
    <x v="40"/>
    <x v="42"/>
    <x v="41"/>
    <x v="42"/>
    <x v="41"/>
    <x v="41"/>
    <x v="2"/>
  </r>
  <r>
    <x v="43"/>
    <x v="43"/>
    <x v="39"/>
    <x v="43"/>
    <x v="42"/>
    <x v="35"/>
    <x v="15"/>
    <x v="32"/>
    <x v="41"/>
    <x v="43"/>
    <x v="42"/>
    <x v="43"/>
    <x v="42"/>
    <x v="42"/>
    <x v="1"/>
  </r>
  <r>
    <x v="44"/>
    <x v="44"/>
    <x v="40"/>
    <x v="44"/>
    <x v="43"/>
    <x v="36"/>
    <x v="3"/>
    <x v="21"/>
    <x v="42"/>
    <x v="44"/>
    <x v="43"/>
    <x v="44"/>
    <x v="43"/>
    <x v="43"/>
    <x v="3"/>
  </r>
  <r>
    <x v="45"/>
    <x v="45"/>
    <x v="41"/>
    <x v="45"/>
    <x v="44"/>
    <x v="37"/>
    <x v="3"/>
    <x v="3"/>
    <x v="43"/>
    <x v="45"/>
    <x v="44"/>
    <x v="45"/>
    <x v="44"/>
    <x v="44"/>
    <x v="1"/>
  </r>
  <r>
    <x v="46"/>
    <x v="46"/>
    <x v="42"/>
    <x v="46"/>
    <x v="45"/>
    <x v="38"/>
    <x v="16"/>
    <x v="3"/>
    <x v="44"/>
    <x v="46"/>
    <x v="45"/>
    <x v="46"/>
    <x v="45"/>
    <x v="45"/>
    <x v="1"/>
  </r>
  <r>
    <x v="47"/>
    <x v="47"/>
    <x v="43"/>
    <x v="47"/>
    <x v="46"/>
    <x v="39"/>
    <x v="3"/>
    <x v="33"/>
    <x v="45"/>
    <x v="47"/>
    <x v="46"/>
    <x v="47"/>
    <x v="46"/>
    <x v="46"/>
    <x v="1"/>
  </r>
  <r>
    <x v="48"/>
    <x v="48"/>
    <x v="44"/>
    <x v="48"/>
    <x v="47"/>
    <x v="40"/>
    <x v="3"/>
    <x v="17"/>
    <x v="46"/>
    <x v="48"/>
    <x v="47"/>
    <x v="48"/>
    <x v="47"/>
    <x v="47"/>
    <x v="0"/>
  </r>
  <r>
    <x v="49"/>
    <x v="49"/>
    <x v="19"/>
    <x v="49"/>
    <x v="24"/>
    <x v="14"/>
    <x v="3"/>
    <x v="3"/>
    <x v="19"/>
    <x v="49"/>
    <x v="19"/>
    <x v="49"/>
    <x v="24"/>
    <x v="23"/>
    <x v="3"/>
  </r>
  <r>
    <x v="50"/>
    <x v="50"/>
    <x v="45"/>
    <x v="50"/>
    <x v="48"/>
    <x v="41"/>
    <x v="17"/>
    <x v="34"/>
    <x v="37"/>
    <x v="50"/>
    <x v="48"/>
    <x v="50"/>
    <x v="48"/>
    <x v="48"/>
    <x v="3"/>
  </r>
  <r>
    <x v="51"/>
    <x v="51"/>
    <x v="46"/>
    <x v="51"/>
    <x v="49"/>
    <x v="42"/>
    <x v="18"/>
    <x v="3"/>
    <x v="47"/>
    <x v="51"/>
    <x v="49"/>
    <x v="51"/>
    <x v="49"/>
    <x v="49"/>
    <x v="3"/>
  </r>
  <r>
    <x v="52"/>
    <x v="52"/>
    <x v="47"/>
    <x v="52"/>
    <x v="50"/>
    <x v="43"/>
    <x v="19"/>
    <x v="35"/>
    <x v="48"/>
    <x v="52"/>
    <x v="50"/>
    <x v="52"/>
    <x v="50"/>
    <x v="50"/>
    <x v="0"/>
  </r>
  <r>
    <x v="53"/>
    <x v="53"/>
    <x v="48"/>
    <x v="53"/>
    <x v="51"/>
    <x v="44"/>
    <x v="2"/>
    <x v="36"/>
    <x v="49"/>
    <x v="53"/>
    <x v="1"/>
    <x v="53"/>
    <x v="51"/>
    <x v="51"/>
    <x v="3"/>
  </r>
  <r>
    <x v="54"/>
    <x v="54"/>
    <x v="49"/>
    <x v="54"/>
    <x v="52"/>
    <x v="14"/>
    <x v="3"/>
    <x v="3"/>
    <x v="50"/>
    <x v="54"/>
    <x v="51"/>
    <x v="54"/>
    <x v="24"/>
    <x v="23"/>
    <x v="2"/>
  </r>
  <r>
    <x v="55"/>
    <x v="55"/>
    <x v="19"/>
    <x v="55"/>
    <x v="53"/>
    <x v="45"/>
    <x v="3"/>
    <x v="21"/>
    <x v="19"/>
    <x v="55"/>
    <x v="19"/>
    <x v="55"/>
    <x v="52"/>
    <x v="52"/>
    <x v="2"/>
  </r>
  <r>
    <x v="56"/>
    <x v="56"/>
    <x v="50"/>
    <x v="56"/>
    <x v="54"/>
    <x v="14"/>
    <x v="3"/>
    <x v="14"/>
    <x v="51"/>
    <x v="56"/>
    <x v="48"/>
    <x v="56"/>
    <x v="53"/>
    <x v="53"/>
    <x v="1"/>
  </r>
  <r>
    <x v="57"/>
    <x v="57"/>
    <x v="51"/>
    <x v="57"/>
    <x v="55"/>
    <x v="39"/>
    <x v="16"/>
    <x v="37"/>
    <x v="52"/>
    <x v="57"/>
    <x v="52"/>
    <x v="57"/>
    <x v="54"/>
    <x v="54"/>
    <x v="2"/>
  </r>
  <r>
    <x v="58"/>
    <x v="58"/>
    <x v="52"/>
    <x v="58"/>
    <x v="56"/>
    <x v="46"/>
    <x v="20"/>
    <x v="38"/>
    <x v="53"/>
    <x v="58"/>
    <x v="53"/>
    <x v="58"/>
    <x v="55"/>
    <x v="55"/>
    <x v="2"/>
  </r>
  <r>
    <x v="59"/>
    <x v="59"/>
    <x v="19"/>
    <x v="49"/>
    <x v="14"/>
    <x v="14"/>
    <x v="3"/>
    <x v="3"/>
    <x v="19"/>
    <x v="59"/>
    <x v="19"/>
    <x v="59"/>
    <x v="24"/>
    <x v="23"/>
    <x v="4"/>
  </r>
  <r>
    <x v="60"/>
    <x v="60"/>
    <x v="53"/>
    <x v="59"/>
    <x v="57"/>
    <x v="47"/>
    <x v="3"/>
    <x v="3"/>
    <x v="45"/>
    <x v="60"/>
    <x v="54"/>
    <x v="60"/>
    <x v="56"/>
    <x v="56"/>
    <x v="1"/>
  </r>
  <r>
    <x v="61"/>
    <x v="61"/>
    <x v="54"/>
    <x v="60"/>
    <x v="58"/>
    <x v="48"/>
    <x v="18"/>
    <x v="39"/>
    <x v="54"/>
    <x v="61"/>
    <x v="55"/>
    <x v="61"/>
    <x v="57"/>
    <x v="57"/>
    <x v="1"/>
  </r>
  <r>
    <x v="62"/>
    <x v="62"/>
    <x v="55"/>
    <x v="61"/>
    <x v="59"/>
    <x v="49"/>
    <x v="3"/>
    <x v="40"/>
    <x v="55"/>
    <x v="62"/>
    <x v="56"/>
    <x v="62"/>
    <x v="58"/>
    <x v="58"/>
    <x v="2"/>
  </r>
  <r>
    <x v="63"/>
    <x v="63"/>
    <x v="56"/>
    <x v="62"/>
    <x v="60"/>
    <x v="50"/>
    <x v="16"/>
    <x v="20"/>
    <x v="56"/>
    <x v="63"/>
    <x v="57"/>
    <x v="63"/>
    <x v="59"/>
    <x v="59"/>
    <x v="2"/>
  </r>
  <r>
    <x v="64"/>
    <x v="64"/>
    <x v="57"/>
    <x v="63"/>
    <x v="61"/>
    <x v="51"/>
    <x v="3"/>
    <x v="21"/>
    <x v="57"/>
    <x v="64"/>
    <x v="58"/>
    <x v="64"/>
    <x v="60"/>
    <x v="60"/>
    <x v="1"/>
  </r>
  <r>
    <x v="65"/>
    <x v="65"/>
    <x v="58"/>
    <x v="64"/>
    <x v="62"/>
    <x v="52"/>
    <x v="4"/>
    <x v="41"/>
    <x v="58"/>
    <x v="65"/>
    <x v="59"/>
    <x v="65"/>
    <x v="61"/>
    <x v="61"/>
    <x v="1"/>
  </r>
  <r>
    <x v="66"/>
    <x v="66"/>
    <x v="59"/>
    <x v="65"/>
    <x v="63"/>
    <x v="53"/>
    <x v="3"/>
    <x v="42"/>
    <x v="59"/>
    <x v="66"/>
    <x v="60"/>
    <x v="66"/>
    <x v="62"/>
    <x v="62"/>
    <x v="2"/>
  </r>
  <r>
    <x v="67"/>
    <x v="67"/>
    <x v="60"/>
    <x v="66"/>
    <x v="64"/>
    <x v="54"/>
    <x v="3"/>
    <x v="3"/>
    <x v="60"/>
    <x v="67"/>
    <x v="61"/>
    <x v="67"/>
    <x v="63"/>
    <x v="63"/>
    <x v="1"/>
  </r>
  <r>
    <x v="68"/>
    <x v="68"/>
    <x v="19"/>
    <x v="67"/>
    <x v="65"/>
    <x v="25"/>
    <x v="3"/>
    <x v="3"/>
    <x v="19"/>
    <x v="68"/>
    <x v="19"/>
    <x v="68"/>
    <x v="64"/>
    <x v="64"/>
    <x v="1"/>
  </r>
  <r>
    <x v="69"/>
    <x v="69"/>
    <x v="19"/>
    <x v="68"/>
    <x v="24"/>
    <x v="14"/>
    <x v="3"/>
    <x v="3"/>
    <x v="19"/>
    <x v="49"/>
    <x v="19"/>
    <x v="69"/>
    <x v="24"/>
    <x v="23"/>
    <x v="3"/>
  </r>
  <r>
    <x v="70"/>
    <x v="70"/>
    <x v="61"/>
    <x v="69"/>
    <x v="66"/>
    <x v="55"/>
    <x v="21"/>
    <x v="43"/>
    <x v="61"/>
    <x v="69"/>
    <x v="62"/>
    <x v="70"/>
    <x v="65"/>
    <x v="65"/>
    <x v="3"/>
  </r>
  <r>
    <x v="71"/>
    <x v="71"/>
    <x v="62"/>
    <x v="70"/>
    <x v="67"/>
    <x v="56"/>
    <x v="16"/>
    <x v="44"/>
    <x v="62"/>
    <x v="70"/>
    <x v="63"/>
    <x v="71"/>
    <x v="66"/>
    <x v="66"/>
    <x v="2"/>
  </r>
  <r>
    <x v="72"/>
    <x v="72"/>
    <x v="63"/>
    <x v="3"/>
    <x v="68"/>
    <x v="14"/>
    <x v="3"/>
    <x v="3"/>
    <x v="63"/>
    <x v="71"/>
    <x v="64"/>
    <x v="72"/>
    <x v="67"/>
    <x v="67"/>
    <x v="2"/>
  </r>
  <r>
    <x v="73"/>
    <x v="73"/>
    <x v="64"/>
    <x v="71"/>
    <x v="69"/>
    <x v="57"/>
    <x v="3"/>
    <x v="3"/>
    <x v="64"/>
    <x v="72"/>
    <x v="65"/>
    <x v="73"/>
    <x v="68"/>
    <x v="68"/>
    <x v="3"/>
  </r>
  <r>
    <x v="74"/>
    <x v="74"/>
    <x v="65"/>
    <x v="72"/>
    <x v="70"/>
    <x v="58"/>
    <x v="4"/>
    <x v="3"/>
    <x v="65"/>
    <x v="73"/>
    <x v="66"/>
    <x v="74"/>
    <x v="69"/>
    <x v="69"/>
    <x v="3"/>
  </r>
  <r>
    <x v="75"/>
    <x v="75"/>
    <x v="19"/>
    <x v="73"/>
    <x v="24"/>
    <x v="14"/>
    <x v="3"/>
    <x v="3"/>
    <x v="19"/>
    <x v="49"/>
    <x v="19"/>
    <x v="75"/>
    <x v="24"/>
    <x v="23"/>
    <x v="1"/>
  </r>
  <r>
    <x v="76"/>
    <x v="76"/>
    <x v="66"/>
    <x v="74"/>
    <x v="71"/>
    <x v="59"/>
    <x v="22"/>
    <x v="45"/>
    <x v="66"/>
    <x v="74"/>
    <x v="67"/>
    <x v="76"/>
    <x v="70"/>
    <x v="70"/>
    <x v="3"/>
  </r>
  <r>
    <x v="77"/>
    <x v="77"/>
    <x v="67"/>
    <x v="75"/>
    <x v="72"/>
    <x v="32"/>
    <x v="3"/>
    <x v="3"/>
    <x v="67"/>
    <x v="75"/>
    <x v="68"/>
    <x v="77"/>
    <x v="71"/>
    <x v="71"/>
    <x v="1"/>
  </r>
  <r>
    <x v="78"/>
    <x v="78"/>
    <x v="68"/>
    <x v="76"/>
    <x v="73"/>
    <x v="27"/>
    <x v="3"/>
    <x v="3"/>
    <x v="68"/>
    <x v="76"/>
    <x v="69"/>
    <x v="78"/>
    <x v="72"/>
    <x v="72"/>
    <x v="1"/>
  </r>
  <r>
    <x v="79"/>
    <x v="79"/>
    <x v="69"/>
    <x v="77"/>
    <x v="74"/>
    <x v="60"/>
    <x v="23"/>
    <x v="46"/>
    <x v="69"/>
    <x v="77"/>
    <x v="70"/>
    <x v="79"/>
    <x v="73"/>
    <x v="73"/>
    <x v="5"/>
  </r>
  <r>
    <x v="80"/>
    <x v="80"/>
    <x v="70"/>
    <x v="78"/>
    <x v="75"/>
    <x v="61"/>
    <x v="24"/>
    <x v="47"/>
    <x v="26"/>
    <x v="78"/>
    <x v="71"/>
    <x v="80"/>
    <x v="74"/>
    <x v="74"/>
    <x v="5"/>
  </r>
  <r>
    <x v="81"/>
    <x v="81"/>
    <x v="71"/>
    <x v="79"/>
    <x v="76"/>
    <x v="62"/>
    <x v="25"/>
    <x v="48"/>
    <x v="70"/>
    <x v="79"/>
    <x v="72"/>
    <x v="81"/>
    <x v="75"/>
    <x v="75"/>
    <x v="0"/>
  </r>
  <r>
    <x v="82"/>
    <x v="82"/>
    <x v="72"/>
    <x v="80"/>
    <x v="77"/>
    <x v="63"/>
    <x v="26"/>
    <x v="49"/>
    <x v="71"/>
    <x v="80"/>
    <x v="73"/>
    <x v="82"/>
    <x v="76"/>
    <x v="76"/>
    <x v="0"/>
  </r>
  <r>
    <x v="83"/>
    <x v="83"/>
    <x v="73"/>
    <x v="81"/>
    <x v="78"/>
    <x v="64"/>
    <x v="3"/>
    <x v="3"/>
    <x v="72"/>
    <x v="81"/>
    <x v="74"/>
    <x v="83"/>
    <x v="77"/>
    <x v="77"/>
    <x v="1"/>
  </r>
  <r>
    <x v="84"/>
    <x v="84"/>
    <x v="74"/>
    <x v="82"/>
    <x v="79"/>
    <x v="65"/>
    <x v="7"/>
    <x v="50"/>
    <x v="73"/>
    <x v="82"/>
    <x v="75"/>
    <x v="84"/>
    <x v="78"/>
    <x v="78"/>
    <x v="1"/>
  </r>
  <r>
    <x v="85"/>
    <x v="85"/>
    <x v="75"/>
    <x v="83"/>
    <x v="80"/>
    <x v="66"/>
    <x v="20"/>
    <x v="51"/>
    <x v="74"/>
    <x v="43"/>
    <x v="76"/>
    <x v="85"/>
    <x v="79"/>
    <x v="79"/>
    <x v="1"/>
  </r>
  <r>
    <x v="86"/>
    <x v="86"/>
    <x v="68"/>
    <x v="84"/>
    <x v="81"/>
    <x v="64"/>
    <x v="3"/>
    <x v="3"/>
    <x v="75"/>
    <x v="83"/>
    <x v="77"/>
    <x v="86"/>
    <x v="80"/>
    <x v="80"/>
    <x v="3"/>
  </r>
  <r>
    <x v="87"/>
    <x v="87"/>
    <x v="76"/>
    <x v="85"/>
    <x v="82"/>
    <x v="67"/>
    <x v="3"/>
    <x v="52"/>
    <x v="76"/>
    <x v="84"/>
    <x v="78"/>
    <x v="87"/>
    <x v="81"/>
    <x v="81"/>
    <x v="4"/>
  </r>
  <r>
    <x v="88"/>
    <x v="88"/>
    <x v="11"/>
    <x v="86"/>
    <x v="83"/>
    <x v="68"/>
    <x v="3"/>
    <x v="3"/>
    <x v="77"/>
    <x v="85"/>
    <x v="79"/>
    <x v="88"/>
    <x v="82"/>
    <x v="82"/>
    <x v="0"/>
  </r>
  <r>
    <x v="89"/>
    <x v="89"/>
    <x v="77"/>
    <x v="87"/>
    <x v="84"/>
    <x v="69"/>
    <x v="3"/>
    <x v="53"/>
    <x v="78"/>
    <x v="86"/>
    <x v="80"/>
    <x v="89"/>
    <x v="83"/>
    <x v="83"/>
    <x v="1"/>
  </r>
  <r>
    <x v="90"/>
    <x v="90"/>
    <x v="78"/>
    <x v="88"/>
    <x v="85"/>
    <x v="70"/>
    <x v="20"/>
    <x v="54"/>
    <x v="79"/>
    <x v="87"/>
    <x v="81"/>
    <x v="90"/>
    <x v="84"/>
    <x v="84"/>
    <x v="2"/>
  </r>
  <r>
    <x v="91"/>
    <x v="91"/>
    <x v="79"/>
    <x v="89"/>
    <x v="86"/>
    <x v="71"/>
    <x v="27"/>
    <x v="55"/>
    <x v="80"/>
    <x v="88"/>
    <x v="82"/>
    <x v="91"/>
    <x v="85"/>
    <x v="85"/>
    <x v="1"/>
  </r>
  <r>
    <x v="92"/>
    <x v="92"/>
    <x v="80"/>
    <x v="90"/>
    <x v="87"/>
    <x v="72"/>
    <x v="20"/>
    <x v="56"/>
    <x v="55"/>
    <x v="89"/>
    <x v="83"/>
    <x v="92"/>
    <x v="86"/>
    <x v="86"/>
    <x v="0"/>
  </r>
  <r>
    <x v="93"/>
    <x v="93"/>
    <x v="81"/>
    <x v="91"/>
    <x v="88"/>
    <x v="73"/>
    <x v="28"/>
    <x v="57"/>
    <x v="81"/>
    <x v="90"/>
    <x v="84"/>
    <x v="93"/>
    <x v="87"/>
    <x v="87"/>
    <x v="1"/>
  </r>
  <r>
    <x v="94"/>
    <x v="94"/>
    <x v="19"/>
    <x v="92"/>
    <x v="65"/>
    <x v="14"/>
    <x v="3"/>
    <x v="3"/>
    <x v="19"/>
    <x v="91"/>
    <x v="19"/>
    <x v="94"/>
    <x v="64"/>
    <x v="88"/>
    <x v="4"/>
  </r>
  <r>
    <x v="95"/>
    <x v="95"/>
    <x v="82"/>
    <x v="93"/>
    <x v="89"/>
    <x v="14"/>
    <x v="3"/>
    <x v="3"/>
    <x v="82"/>
    <x v="92"/>
    <x v="85"/>
    <x v="95"/>
    <x v="88"/>
    <x v="89"/>
    <x v="1"/>
  </r>
  <r>
    <x v="96"/>
    <x v="96"/>
    <x v="49"/>
    <x v="94"/>
    <x v="90"/>
    <x v="74"/>
    <x v="3"/>
    <x v="58"/>
    <x v="13"/>
    <x v="93"/>
    <x v="86"/>
    <x v="96"/>
    <x v="89"/>
    <x v="90"/>
    <x v="0"/>
  </r>
  <r>
    <x v="97"/>
    <x v="97"/>
    <x v="83"/>
    <x v="95"/>
    <x v="91"/>
    <x v="14"/>
    <x v="3"/>
    <x v="3"/>
    <x v="83"/>
    <x v="94"/>
    <x v="87"/>
    <x v="97"/>
    <x v="90"/>
    <x v="91"/>
    <x v="2"/>
  </r>
  <r>
    <x v="98"/>
    <x v="98"/>
    <x v="84"/>
    <x v="96"/>
    <x v="92"/>
    <x v="47"/>
    <x v="3"/>
    <x v="4"/>
    <x v="84"/>
    <x v="95"/>
    <x v="88"/>
    <x v="98"/>
    <x v="91"/>
    <x v="92"/>
    <x v="2"/>
  </r>
  <r>
    <x v="99"/>
    <x v="99"/>
    <x v="85"/>
    <x v="97"/>
    <x v="93"/>
    <x v="75"/>
    <x v="7"/>
    <x v="59"/>
    <x v="69"/>
    <x v="96"/>
    <x v="89"/>
    <x v="99"/>
    <x v="92"/>
    <x v="93"/>
    <x v="0"/>
  </r>
  <r>
    <x v="100"/>
    <x v="5"/>
    <x v="26"/>
    <x v="98"/>
    <x v="94"/>
    <x v="14"/>
    <x v="3"/>
    <x v="3"/>
    <x v="85"/>
    <x v="97"/>
    <x v="90"/>
    <x v="100"/>
    <x v="24"/>
    <x v="23"/>
    <x v="1"/>
  </r>
  <r>
    <x v="101"/>
    <x v="100"/>
    <x v="86"/>
    <x v="99"/>
    <x v="95"/>
    <x v="64"/>
    <x v="3"/>
    <x v="24"/>
    <x v="71"/>
    <x v="98"/>
    <x v="91"/>
    <x v="101"/>
    <x v="93"/>
    <x v="94"/>
    <x v="1"/>
  </r>
  <r>
    <x v="102"/>
    <x v="101"/>
    <x v="87"/>
    <x v="100"/>
    <x v="96"/>
    <x v="50"/>
    <x v="3"/>
    <x v="60"/>
    <x v="86"/>
    <x v="99"/>
    <x v="92"/>
    <x v="102"/>
    <x v="94"/>
    <x v="95"/>
    <x v="1"/>
  </r>
  <r>
    <x v="103"/>
    <x v="102"/>
    <x v="88"/>
    <x v="101"/>
    <x v="97"/>
    <x v="76"/>
    <x v="1"/>
    <x v="61"/>
    <x v="77"/>
    <x v="100"/>
    <x v="93"/>
    <x v="103"/>
    <x v="95"/>
    <x v="96"/>
    <x v="2"/>
  </r>
  <r>
    <x v="104"/>
    <x v="103"/>
    <x v="89"/>
    <x v="102"/>
    <x v="98"/>
    <x v="35"/>
    <x v="3"/>
    <x v="20"/>
    <x v="87"/>
    <x v="101"/>
    <x v="94"/>
    <x v="104"/>
    <x v="96"/>
    <x v="97"/>
    <x v="2"/>
  </r>
  <r>
    <x v="105"/>
    <x v="104"/>
    <x v="90"/>
    <x v="103"/>
    <x v="99"/>
    <x v="27"/>
    <x v="3"/>
    <x v="14"/>
    <x v="10"/>
    <x v="102"/>
    <x v="95"/>
    <x v="105"/>
    <x v="97"/>
    <x v="98"/>
    <x v="4"/>
  </r>
  <r>
    <x v="106"/>
    <x v="105"/>
    <x v="91"/>
    <x v="104"/>
    <x v="100"/>
    <x v="77"/>
    <x v="3"/>
    <x v="62"/>
    <x v="88"/>
    <x v="103"/>
    <x v="96"/>
    <x v="106"/>
    <x v="98"/>
    <x v="99"/>
    <x v="5"/>
  </r>
  <r>
    <x v="107"/>
    <x v="106"/>
    <x v="90"/>
    <x v="105"/>
    <x v="101"/>
    <x v="37"/>
    <x v="4"/>
    <x v="21"/>
    <x v="89"/>
    <x v="104"/>
    <x v="3"/>
    <x v="107"/>
    <x v="99"/>
    <x v="100"/>
    <x v="2"/>
  </r>
  <r>
    <x v="108"/>
    <x v="107"/>
    <x v="92"/>
    <x v="106"/>
    <x v="102"/>
    <x v="25"/>
    <x v="3"/>
    <x v="3"/>
    <x v="32"/>
    <x v="105"/>
    <x v="97"/>
    <x v="108"/>
    <x v="100"/>
    <x v="101"/>
    <x v="1"/>
  </r>
  <r>
    <x v="109"/>
    <x v="108"/>
    <x v="93"/>
    <x v="107"/>
    <x v="103"/>
    <x v="36"/>
    <x v="3"/>
    <x v="63"/>
    <x v="90"/>
    <x v="106"/>
    <x v="98"/>
    <x v="109"/>
    <x v="101"/>
    <x v="102"/>
    <x v="2"/>
  </r>
  <r>
    <x v="110"/>
    <x v="109"/>
    <x v="68"/>
    <x v="108"/>
    <x v="104"/>
    <x v="14"/>
    <x v="3"/>
    <x v="3"/>
    <x v="91"/>
    <x v="107"/>
    <x v="40"/>
    <x v="110"/>
    <x v="64"/>
    <x v="103"/>
    <x v="2"/>
  </r>
  <r>
    <x v="111"/>
    <x v="110"/>
    <x v="94"/>
    <x v="109"/>
    <x v="105"/>
    <x v="78"/>
    <x v="29"/>
    <x v="64"/>
    <x v="92"/>
    <x v="108"/>
    <x v="99"/>
    <x v="111"/>
    <x v="102"/>
    <x v="104"/>
    <x v="3"/>
  </r>
  <r>
    <x v="112"/>
    <x v="111"/>
    <x v="95"/>
    <x v="110"/>
    <x v="106"/>
    <x v="79"/>
    <x v="30"/>
    <x v="65"/>
    <x v="93"/>
    <x v="109"/>
    <x v="100"/>
    <x v="112"/>
    <x v="103"/>
    <x v="105"/>
    <x v="1"/>
  </r>
  <r>
    <x v="113"/>
    <x v="112"/>
    <x v="96"/>
    <x v="111"/>
    <x v="107"/>
    <x v="14"/>
    <x v="3"/>
    <x v="3"/>
    <x v="94"/>
    <x v="110"/>
    <x v="101"/>
    <x v="113"/>
    <x v="104"/>
    <x v="106"/>
    <x v="1"/>
  </r>
  <r>
    <x v="114"/>
    <x v="113"/>
    <x v="19"/>
    <x v="112"/>
    <x v="108"/>
    <x v="25"/>
    <x v="3"/>
    <x v="24"/>
    <x v="19"/>
    <x v="108"/>
    <x v="19"/>
    <x v="114"/>
    <x v="105"/>
    <x v="107"/>
    <x v="4"/>
  </r>
  <r>
    <x v="115"/>
    <x v="114"/>
    <x v="62"/>
    <x v="113"/>
    <x v="109"/>
    <x v="80"/>
    <x v="16"/>
    <x v="32"/>
    <x v="95"/>
    <x v="111"/>
    <x v="102"/>
    <x v="115"/>
    <x v="106"/>
    <x v="108"/>
    <x v="1"/>
  </r>
  <r>
    <x v="116"/>
    <x v="115"/>
    <x v="97"/>
    <x v="114"/>
    <x v="110"/>
    <x v="81"/>
    <x v="15"/>
    <x v="66"/>
    <x v="96"/>
    <x v="112"/>
    <x v="103"/>
    <x v="116"/>
    <x v="107"/>
    <x v="109"/>
    <x v="0"/>
  </r>
  <r>
    <x v="117"/>
    <x v="116"/>
    <x v="11"/>
    <x v="32"/>
    <x v="111"/>
    <x v="82"/>
    <x v="3"/>
    <x v="3"/>
    <x v="97"/>
    <x v="32"/>
    <x v="31"/>
    <x v="117"/>
    <x v="108"/>
    <x v="110"/>
    <x v="2"/>
  </r>
  <r>
    <x v="118"/>
    <x v="117"/>
    <x v="56"/>
    <x v="115"/>
    <x v="112"/>
    <x v="83"/>
    <x v="3"/>
    <x v="67"/>
    <x v="98"/>
    <x v="113"/>
    <x v="104"/>
    <x v="118"/>
    <x v="109"/>
    <x v="111"/>
    <x v="2"/>
  </r>
  <r>
    <x v="119"/>
    <x v="118"/>
    <x v="98"/>
    <x v="116"/>
    <x v="113"/>
    <x v="84"/>
    <x v="15"/>
    <x v="68"/>
    <x v="28"/>
    <x v="114"/>
    <x v="105"/>
    <x v="119"/>
    <x v="110"/>
    <x v="112"/>
    <x v="5"/>
  </r>
  <r>
    <x v="120"/>
    <x v="119"/>
    <x v="99"/>
    <x v="117"/>
    <x v="114"/>
    <x v="85"/>
    <x v="4"/>
    <x v="3"/>
    <x v="99"/>
    <x v="115"/>
    <x v="106"/>
    <x v="120"/>
    <x v="111"/>
    <x v="113"/>
    <x v="1"/>
  </r>
  <r>
    <x v="121"/>
    <x v="120"/>
    <x v="27"/>
    <x v="118"/>
    <x v="73"/>
    <x v="25"/>
    <x v="3"/>
    <x v="14"/>
    <x v="57"/>
    <x v="116"/>
    <x v="93"/>
    <x v="121"/>
    <x v="105"/>
    <x v="114"/>
    <x v="4"/>
  </r>
  <r>
    <x v="122"/>
    <x v="121"/>
    <x v="100"/>
    <x v="119"/>
    <x v="115"/>
    <x v="14"/>
    <x v="3"/>
    <x v="3"/>
    <x v="100"/>
    <x v="117"/>
    <x v="107"/>
    <x v="122"/>
    <x v="112"/>
    <x v="115"/>
    <x v="3"/>
  </r>
  <r>
    <x v="123"/>
    <x v="122"/>
    <x v="50"/>
    <x v="120"/>
    <x v="116"/>
    <x v="14"/>
    <x v="3"/>
    <x v="3"/>
    <x v="101"/>
    <x v="118"/>
    <x v="108"/>
    <x v="123"/>
    <x v="88"/>
    <x v="116"/>
    <x v="2"/>
  </r>
  <r>
    <x v="124"/>
    <x v="123"/>
    <x v="101"/>
    <x v="121"/>
    <x v="117"/>
    <x v="86"/>
    <x v="16"/>
    <x v="69"/>
    <x v="102"/>
    <x v="119"/>
    <x v="109"/>
    <x v="124"/>
    <x v="113"/>
    <x v="117"/>
    <x v="2"/>
  </r>
  <r>
    <x v="125"/>
    <x v="124"/>
    <x v="102"/>
    <x v="122"/>
    <x v="118"/>
    <x v="87"/>
    <x v="1"/>
    <x v="7"/>
    <x v="103"/>
    <x v="120"/>
    <x v="110"/>
    <x v="125"/>
    <x v="114"/>
    <x v="118"/>
    <x v="1"/>
  </r>
  <r>
    <x v="126"/>
    <x v="125"/>
    <x v="103"/>
    <x v="123"/>
    <x v="119"/>
    <x v="88"/>
    <x v="3"/>
    <x v="3"/>
    <x v="104"/>
    <x v="121"/>
    <x v="111"/>
    <x v="126"/>
    <x v="60"/>
    <x v="119"/>
    <x v="1"/>
  </r>
  <r>
    <x v="127"/>
    <x v="126"/>
    <x v="104"/>
    <x v="124"/>
    <x v="120"/>
    <x v="89"/>
    <x v="31"/>
    <x v="70"/>
    <x v="105"/>
    <x v="122"/>
    <x v="112"/>
    <x v="127"/>
    <x v="115"/>
    <x v="120"/>
    <x v="0"/>
  </r>
  <r>
    <x v="128"/>
    <x v="127"/>
    <x v="105"/>
    <x v="125"/>
    <x v="121"/>
    <x v="90"/>
    <x v="17"/>
    <x v="71"/>
    <x v="24"/>
    <x v="123"/>
    <x v="113"/>
    <x v="128"/>
    <x v="116"/>
    <x v="121"/>
    <x v="0"/>
  </r>
  <r>
    <x v="129"/>
    <x v="128"/>
    <x v="106"/>
    <x v="126"/>
    <x v="122"/>
    <x v="91"/>
    <x v="32"/>
    <x v="72"/>
    <x v="65"/>
    <x v="124"/>
    <x v="114"/>
    <x v="129"/>
    <x v="117"/>
    <x v="122"/>
    <x v="3"/>
  </r>
  <r>
    <x v="130"/>
    <x v="129"/>
    <x v="19"/>
    <x v="127"/>
    <x v="123"/>
    <x v="14"/>
    <x v="3"/>
    <x v="3"/>
    <x v="19"/>
    <x v="125"/>
    <x v="19"/>
    <x v="94"/>
    <x v="118"/>
    <x v="123"/>
    <x v="4"/>
  </r>
  <r>
    <x v="131"/>
    <x v="130"/>
    <x v="107"/>
    <x v="128"/>
    <x v="124"/>
    <x v="92"/>
    <x v="16"/>
    <x v="73"/>
    <x v="29"/>
    <x v="126"/>
    <x v="115"/>
    <x v="130"/>
    <x v="119"/>
    <x v="124"/>
    <x v="3"/>
  </r>
  <r>
    <x v="132"/>
    <x v="131"/>
    <x v="108"/>
    <x v="129"/>
    <x v="125"/>
    <x v="93"/>
    <x v="33"/>
    <x v="74"/>
    <x v="106"/>
    <x v="127"/>
    <x v="116"/>
    <x v="131"/>
    <x v="120"/>
    <x v="125"/>
    <x v="3"/>
  </r>
  <r>
    <x v="133"/>
    <x v="132"/>
    <x v="109"/>
    <x v="130"/>
    <x v="126"/>
    <x v="94"/>
    <x v="30"/>
    <x v="75"/>
    <x v="107"/>
    <x v="128"/>
    <x v="117"/>
    <x v="132"/>
    <x v="121"/>
    <x v="126"/>
    <x v="4"/>
  </r>
  <r>
    <x v="134"/>
    <x v="133"/>
    <x v="110"/>
    <x v="131"/>
    <x v="127"/>
    <x v="95"/>
    <x v="20"/>
    <x v="23"/>
    <x v="108"/>
    <x v="129"/>
    <x v="118"/>
    <x v="133"/>
    <x v="122"/>
    <x v="127"/>
    <x v="1"/>
  </r>
  <r>
    <x v="135"/>
    <x v="134"/>
    <x v="111"/>
    <x v="132"/>
    <x v="128"/>
    <x v="96"/>
    <x v="16"/>
    <x v="76"/>
    <x v="109"/>
    <x v="130"/>
    <x v="46"/>
    <x v="134"/>
    <x v="123"/>
    <x v="31"/>
    <x v="1"/>
  </r>
  <r>
    <x v="136"/>
    <x v="135"/>
    <x v="112"/>
    <x v="133"/>
    <x v="129"/>
    <x v="97"/>
    <x v="3"/>
    <x v="77"/>
    <x v="110"/>
    <x v="131"/>
    <x v="119"/>
    <x v="135"/>
    <x v="124"/>
    <x v="128"/>
    <x v="0"/>
  </r>
  <r>
    <x v="137"/>
    <x v="136"/>
    <x v="113"/>
    <x v="134"/>
    <x v="130"/>
    <x v="98"/>
    <x v="34"/>
    <x v="78"/>
    <x v="111"/>
    <x v="132"/>
    <x v="120"/>
    <x v="136"/>
    <x v="125"/>
    <x v="129"/>
    <x v="1"/>
  </r>
  <r>
    <x v="138"/>
    <x v="137"/>
    <x v="114"/>
    <x v="135"/>
    <x v="131"/>
    <x v="99"/>
    <x v="35"/>
    <x v="79"/>
    <x v="112"/>
    <x v="133"/>
    <x v="121"/>
    <x v="137"/>
    <x v="126"/>
    <x v="130"/>
    <x v="1"/>
  </r>
  <r>
    <x v="139"/>
    <x v="138"/>
    <x v="115"/>
    <x v="136"/>
    <x v="132"/>
    <x v="100"/>
    <x v="3"/>
    <x v="80"/>
    <x v="22"/>
    <x v="134"/>
    <x v="122"/>
    <x v="138"/>
    <x v="127"/>
    <x v="131"/>
    <x v="2"/>
  </r>
  <r>
    <x v="140"/>
    <x v="139"/>
    <x v="19"/>
    <x v="137"/>
    <x v="104"/>
    <x v="14"/>
    <x v="3"/>
    <x v="3"/>
    <x v="19"/>
    <x v="135"/>
    <x v="19"/>
    <x v="139"/>
    <x v="24"/>
    <x v="23"/>
    <x v="3"/>
  </r>
  <r>
    <x v="141"/>
    <x v="140"/>
    <x v="19"/>
    <x v="138"/>
    <x v="104"/>
    <x v="14"/>
    <x v="3"/>
    <x v="3"/>
    <x v="19"/>
    <x v="136"/>
    <x v="19"/>
    <x v="69"/>
    <x v="64"/>
    <x v="132"/>
    <x v="3"/>
  </r>
  <r>
    <x v="142"/>
    <x v="141"/>
    <x v="19"/>
    <x v="139"/>
    <x v="19"/>
    <x v="14"/>
    <x v="3"/>
    <x v="3"/>
    <x v="19"/>
    <x v="137"/>
    <x v="19"/>
    <x v="140"/>
    <x v="105"/>
    <x v="133"/>
    <x v="3"/>
  </r>
  <r>
    <x v="143"/>
    <x v="142"/>
    <x v="116"/>
    <x v="140"/>
    <x v="24"/>
    <x v="14"/>
    <x v="3"/>
    <x v="3"/>
    <x v="113"/>
    <x v="138"/>
    <x v="123"/>
    <x v="141"/>
    <x v="24"/>
    <x v="23"/>
    <x v="1"/>
  </r>
  <r>
    <x v="144"/>
    <x v="143"/>
    <x v="117"/>
    <x v="141"/>
    <x v="133"/>
    <x v="45"/>
    <x v="3"/>
    <x v="81"/>
    <x v="114"/>
    <x v="139"/>
    <x v="103"/>
    <x v="142"/>
    <x v="128"/>
    <x v="134"/>
    <x v="2"/>
  </r>
  <r>
    <x v="145"/>
    <x v="144"/>
    <x v="118"/>
    <x v="142"/>
    <x v="134"/>
    <x v="101"/>
    <x v="21"/>
    <x v="82"/>
    <x v="115"/>
    <x v="140"/>
    <x v="124"/>
    <x v="143"/>
    <x v="129"/>
    <x v="135"/>
    <x v="0"/>
  </r>
  <r>
    <x v="146"/>
    <x v="145"/>
    <x v="119"/>
    <x v="143"/>
    <x v="135"/>
    <x v="102"/>
    <x v="15"/>
    <x v="83"/>
    <x v="116"/>
    <x v="141"/>
    <x v="125"/>
    <x v="144"/>
    <x v="130"/>
    <x v="136"/>
    <x v="2"/>
  </r>
  <r>
    <x v="147"/>
    <x v="146"/>
    <x v="120"/>
    <x v="32"/>
    <x v="136"/>
    <x v="103"/>
    <x v="31"/>
    <x v="3"/>
    <x v="117"/>
    <x v="32"/>
    <x v="31"/>
    <x v="145"/>
    <x v="131"/>
    <x v="137"/>
    <x v="1"/>
  </r>
  <r>
    <x v="148"/>
    <x v="147"/>
    <x v="19"/>
    <x v="139"/>
    <x v="137"/>
    <x v="14"/>
    <x v="3"/>
    <x v="3"/>
    <x v="19"/>
    <x v="142"/>
    <x v="19"/>
    <x v="146"/>
    <x v="132"/>
    <x v="138"/>
    <x v="2"/>
  </r>
  <r>
    <x v="149"/>
    <x v="148"/>
    <x v="121"/>
    <x v="144"/>
    <x v="138"/>
    <x v="14"/>
    <x v="3"/>
    <x v="24"/>
    <x v="118"/>
    <x v="143"/>
    <x v="126"/>
    <x v="147"/>
    <x v="93"/>
    <x v="139"/>
    <x v="2"/>
  </r>
  <r>
    <x v="150"/>
    <x v="149"/>
    <x v="122"/>
    <x v="145"/>
    <x v="139"/>
    <x v="104"/>
    <x v="3"/>
    <x v="84"/>
    <x v="119"/>
    <x v="144"/>
    <x v="127"/>
    <x v="148"/>
    <x v="133"/>
    <x v="140"/>
    <x v="4"/>
  </r>
  <r>
    <x v="151"/>
    <x v="150"/>
    <x v="123"/>
    <x v="146"/>
    <x v="140"/>
    <x v="45"/>
    <x v="3"/>
    <x v="37"/>
    <x v="32"/>
    <x v="145"/>
    <x v="128"/>
    <x v="99"/>
    <x v="4"/>
    <x v="141"/>
    <x v="1"/>
  </r>
  <r>
    <x v="152"/>
    <x v="151"/>
    <x v="124"/>
    <x v="147"/>
    <x v="141"/>
    <x v="47"/>
    <x v="3"/>
    <x v="85"/>
    <x v="120"/>
    <x v="146"/>
    <x v="36"/>
    <x v="149"/>
    <x v="134"/>
    <x v="142"/>
    <x v="1"/>
  </r>
  <r>
    <x v="153"/>
    <x v="152"/>
    <x v="125"/>
    <x v="148"/>
    <x v="142"/>
    <x v="4"/>
    <x v="3"/>
    <x v="22"/>
    <x v="91"/>
    <x v="147"/>
    <x v="129"/>
    <x v="150"/>
    <x v="135"/>
    <x v="143"/>
    <x v="0"/>
  </r>
  <r>
    <x v="154"/>
    <x v="153"/>
    <x v="126"/>
    <x v="149"/>
    <x v="143"/>
    <x v="105"/>
    <x v="36"/>
    <x v="86"/>
    <x v="95"/>
    <x v="148"/>
    <x v="130"/>
    <x v="151"/>
    <x v="136"/>
    <x v="144"/>
    <x v="2"/>
  </r>
  <r>
    <x v="155"/>
    <x v="154"/>
    <x v="127"/>
    <x v="150"/>
    <x v="144"/>
    <x v="106"/>
    <x v="4"/>
    <x v="87"/>
    <x v="121"/>
    <x v="149"/>
    <x v="131"/>
    <x v="152"/>
    <x v="137"/>
    <x v="145"/>
    <x v="4"/>
  </r>
  <r>
    <x v="156"/>
    <x v="155"/>
    <x v="128"/>
    <x v="151"/>
    <x v="145"/>
    <x v="107"/>
    <x v="4"/>
    <x v="3"/>
    <x v="122"/>
    <x v="150"/>
    <x v="9"/>
    <x v="153"/>
    <x v="138"/>
    <x v="146"/>
    <x v="2"/>
  </r>
  <r>
    <x v="157"/>
    <x v="156"/>
    <x v="129"/>
    <x v="152"/>
    <x v="146"/>
    <x v="14"/>
    <x v="3"/>
    <x v="3"/>
    <x v="123"/>
    <x v="151"/>
    <x v="132"/>
    <x v="154"/>
    <x v="139"/>
    <x v="147"/>
    <x v="1"/>
  </r>
  <r>
    <x v="158"/>
    <x v="157"/>
    <x v="11"/>
    <x v="153"/>
    <x v="147"/>
    <x v="108"/>
    <x v="3"/>
    <x v="88"/>
    <x v="124"/>
    <x v="23"/>
    <x v="133"/>
    <x v="155"/>
    <x v="140"/>
    <x v="148"/>
    <x v="5"/>
  </r>
  <r>
    <x v="159"/>
    <x v="158"/>
    <x v="130"/>
    <x v="154"/>
    <x v="148"/>
    <x v="109"/>
    <x v="15"/>
    <x v="89"/>
    <x v="125"/>
    <x v="152"/>
    <x v="57"/>
    <x v="156"/>
    <x v="141"/>
    <x v="149"/>
    <x v="0"/>
  </r>
  <r>
    <x v="160"/>
    <x v="159"/>
    <x v="131"/>
    <x v="155"/>
    <x v="149"/>
    <x v="110"/>
    <x v="4"/>
    <x v="90"/>
    <x v="114"/>
    <x v="153"/>
    <x v="134"/>
    <x v="157"/>
    <x v="142"/>
    <x v="150"/>
    <x v="3"/>
  </r>
  <r>
    <x v="161"/>
    <x v="160"/>
    <x v="132"/>
    <x v="32"/>
    <x v="150"/>
    <x v="111"/>
    <x v="15"/>
    <x v="3"/>
    <x v="126"/>
    <x v="32"/>
    <x v="31"/>
    <x v="158"/>
    <x v="143"/>
    <x v="151"/>
    <x v="1"/>
  </r>
  <r>
    <x v="162"/>
    <x v="161"/>
    <x v="133"/>
    <x v="156"/>
    <x v="9"/>
    <x v="112"/>
    <x v="4"/>
    <x v="91"/>
    <x v="127"/>
    <x v="154"/>
    <x v="135"/>
    <x v="159"/>
    <x v="144"/>
    <x v="71"/>
    <x v="1"/>
  </r>
  <r>
    <x v="163"/>
    <x v="162"/>
    <x v="134"/>
    <x v="32"/>
    <x v="151"/>
    <x v="35"/>
    <x v="16"/>
    <x v="3"/>
    <x v="128"/>
    <x v="32"/>
    <x v="31"/>
    <x v="22"/>
    <x v="145"/>
    <x v="152"/>
    <x v="0"/>
  </r>
  <r>
    <x v="164"/>
    <x v="163"/>
    <x v="14"/>
    <x v="157"/>
    <x v="152"/>
    <x v="5"/>
    <x v="3"/>
    <x v="3"/>
    <x v="129"/>
    <x v="155"/>
    <x v="136"/>
    <x v="160"/>
    <x v="146"/>
    <x v="116"/>
    <x v="4"/>
  </r>
  <r>
    <x v="165"/>
    <x v="164"/>
    <x v="135"/>
    <x v="158"/>
    <x v="153"/>
    <x v="107"/>
    <x v="4"/>
    <x v="92"/>
    <x v="130"/>
    <x v="156"/>
    <x v="137"/>
    <x v="161"/>
    <x v="147"/>
    <x v="153"/>
    <x v="1"/>
  </r>
  <r>
    <x v="166"/>
    <x v="165"/>
    <x v="136"/>
    <x v="159"/>
    <x v="154"/>
    <x v="14"/>
    <x v="3"/>
    <x v="3"/>
    <x v="131"/>
    <x v="157"/>
    <x v="138"/>
    <x v="162"/>
    <x v="24"/>
    <x v="23"/>
    <x v="2"/>
  </r>
  <r>
    <x v="167"/>
    <x v="166"/>
    <x v="44"/>
    <x v="160"/>
    <x v="155"/>
    <x v="51"/>
    <x v="3"/>
    <x v="21"/>
    <x v="132"/>
    <x v="158"/>
    <x v="139"/>
    <x v="163"/>
    <x v="148"/>
    <x v="154"/>
    <x v="5"/>
  </r>
  <r>
    <x v="168"/>
    <x v="140"/>
    <x v="19"/>
    <x v="32"/>
    <x v="47"/>
    <x v="14"/>
    <x v="3"/>
    <x v="3"/>
    <x v="19"/>
    <x v="32"/>
    <x v="19"/>
    <x v="164"/>
    <x v="24"/>
    <x v="23"/>
    <x v="5"/>
  </r>
  <r>
    <x v="169"/>
    <x v="167"/>
    <x v="137"/>
    <x v="161"/>
    <x v="156"/>
    <x v="51"/>
    <x v="3"/>
    <x v="93"/>
    <x v="133"/>
    <x v="159"/>
    <x v="85"/>
    <x v="165"/>
    <x v="149"/>
    <x v="155"/>
    <x v="2"/>
  </r>
  <r>
    <x v="170"/>
    <x v="168"/>
    <x v="56"/>
    <x v="95"/>
    <x v="157"/>
    <x v="25"/>
    <x v="3"/>
    <x v="3"/>
    <x v="134"/>
    <x v="160"/>
    <x v="140"/>
    <x v="166"/>
    <x v="146"/>
    <x v="156"/>
    <x v="3"/>
  </r>
  <r>
    <x v="171"/>
    <x v="169"/>
    <x v="138"/>
    <x v="162"/>
    <x v="158"/>
    <x v="37"/>
    <x v="3"/>
    <x v="88"/>
    <x v="42"/>
    <x v="161"/>
    <x v="141"/>
    <x v="167"/>
    <x v="150"/>
    <x v="63"/>
    <x v="0"/>
  </r>
  <r>
    <x v="172"/>
    <x v="170"/>
    <x v="139"/>
    <x v="163"/>
    <x v="159"/>
    <x v="113"/>
    <x v="18"/>
    <x v="94"/>
    <x v="135"/>
    <x v="162"/>
    <x v="7"/>
    <x v="168"/>
    <x v="151"/>
    <x v="157"/>
    <x v="1"/>
  </r>
  <r>
    <x v="173"/>
    <x v="171"/>
    <x v="140"/>
    <x v="164"/>
    <x v="160"/>
    <x v="114"/>
    <x v="37"/>
    <x v="95"/>
    <x v="94"/>
    <x v="163"/>
    <x v="142"/>
    <x v="169"/>
    <x v="152"/>
    <x v="158"/>
    <x v="3"/>
  </r>
  <r>
    <x v="174"/>
    <x v="172"/>
    <x v="17"/>
    <x v="165"/>
    <x v="161"/>
    <x v="32"/>
    <x v="3"/>
    <x v="24"/>
    <x v="136"/>
    <x v="164"/>
    <x v="143"/>
    <x v="170"/>
    <x v="153"/>
    <x v="159"/>
    <x v="2"/>
  </r>
  <r>
    <x v="175"/>
    <x v="173"/>
    <x v="141"/>
    <x v="166"/>
    <x v="162"/>
    <x v="115"/>
    <x v="12"/>
    <x v="96"/>
    <x v="137"/>
    <x v="165"/>
    <x v="144"/>
    <x v="171"/>
    <x v="57"/>
    <x v="118"/>
    <x v="1"/>
  </r>
  <r>
    <x v="176"/>
    <x v="174"/>
    <x v="142"/>
    <x v="167"/>
    <x v="163"/>
    <x v="116"/>
    <x v="4"/>
    <x v="97"/>
    <x v="138"/>
    <x v="166"/>
    <x v="145"/>
    <x v="172"/>
    <x v="154"/>
    <x v="160"/>
    <x v="0"/>
  </r>
  <r>
    <x v="177"/>
    <x v="175"/>
    <x v="143"/>
    <x v="168"/>
    <x v="164"/>
    <x v="117"/>
    <x v="11"/>
    <x v="98"/>
    <x v="139"/>
    <x v="167"/>
    <x v="146"/>
    <x v="173"/>
    <x v="155"/>
    <x v="161"/>
    <x v="1"/>
  </r>
  <r>
    <x v="178"/>
    <x v="176"/>
    <x v="18"/>
    <x v="169"/>
    <x v="165"/>
    <x v="3"/>
    <x v="4"/>
    <x v="98"/>
    <x v="91"/>
    <x v="168"/>
    <x v="147"/>
    <x v="174"/>
    <x v="156"/>
    <x v="162"/>
    <x v="3"/>
  </r>
  <r>
    <x v="179"/>
    <x v="177"/>
    <x v="144"/>
    <x v="170"/>
    <x v="166"/>
    <x v="118"/>
    <x v="20"/>
    <x v="99"/>
    <x v="140"/>
    <x v="169"/>
    <x v="148"/>
    <x v="175"/>
    <x v="157"/>
    <x v="163"/>
    <x v="1"/>
  </r>
  <r>
    <x v="180"/>
    <x v="178"/>
    <x v="145"/>
    <x v="171"/>
    <x v="167"/>
    <x v="119"/>
    <x v="7"/>
    <x v="100"/>
    <x v="141"/>
    <x v="170"/>
    <x v="149"/>
    <x v="176"/>
    <x v="158"/>
    <x v="164"/>
    <x v="3"/>
  </r>
  <r>
    <x v="181"/>
    <x v="179"/>
    <x v="19"/>
    <x v="172"/>
    <x v="168"/>
    <x v="64"/>
    <x v="3"/>
    <x v="3"/>
    <x v="19"/>
    <x v="171"/>
    <x v="19"/>
    <x v="177"/>
    <x v="148"/>
    <x v="38"/>
    <x v="4"/>
  </r>
  <r>
    <x v="182"/>
    <x v="25"/>
    <x v="146"/>
    <x v="173"/>
    <x v="169"/>
    <x v="120"/>
    <x v="16"/>
    <x v="3"/>
    <x v="39"/>
    <x v="172"/>
    <x v="150"/>
    <x v="178"/>
    <x v="159"/>
    <x v="165"/>
    <x v="0"/>
  </r>
  <r>
    <x v="183"/>
    <x v="180"/>
    <x v="26"/>
    <x v="174"/>
    <x v="65"/>
    <x v="14"/>
    <x v="3"/>
    <x v="3"/>
    <x v="142"/>
    <x v="173"/>
    <x v="151"/>
    <x v="179"/>
    <x v="24"/>
    <x v="23"/>
    <x v="2"/>
  </r>
  <r>
    <x v="184"/>
    <x v="181"/>
    <x v="147"/>
    <x v="175"/>
    <x v="170"/>
    <x v="3"/>
    <x v="7"/>
    <x v="101"/>
    <x v="143"/>
    <x v="174"/>
    <x v="152"/>
    <x v="180"/>
    <x v="93"/>
    <x v="166"/>
    <x v="0"/>
  </r>
  <r>
    <x v="185"/>
    <x v="182"/>
    <x v="148"/>
    <x v="176"/>
    <x v="171"/>
    <x v="121"/>
    <x v="4"/>
    <x v="102"/>
    <x v="144"/>
    <x v="175"/>
    <x v="153"/>
    <x v="181"/>
    <x v="160"/>
    <x v="167"/>
    <x v="2"/>
  </r>
  <r>
    <x v="186"/>
    <x v="183"/>
    <x v="149"/>
    <x v="177"/>
    <x v="172"/>
    <x v="38"/>
    <x v="16"/>
    <x v="59"/>
    <x v="63"/>
    <x v="176"/>
    <x v="154"/>
    <x v="182"/>
    <x v="161"/>
    <x v="168"/>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7883AC7-4F8B-4B38-AA4D-70D3879B4820}" name="PivotTable11"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0">
  <location ref="A116:B123" firstHeaderRow="1" firstDataRow="1" firstDataCol="1"/>
  <pivotFields count="15">
    <pivotField showAll="0">
      <items count="1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4"/>
        <item x="175"/>
        <item x="176"/>
        <item x="177"/>
        <item x="178"/>
        <item x="173"/>
        <item x="179"/>
        <item x="180"/>
        <item x="181"/>
        <item x="182"/>
        <item x="183"/>
        <item x="184"/>
        <item x="185"/>
        <item x="186"/>
        <item t="default"/>
      </items>
    </pivotField>
    <pivotField numFmtId="1" showAll="0">
      <items count="185">
        <item x="180"/>
        <item x="75"/>
        <item x="68"/>
        <item x="139"/>
        <item x="49"/>
        <item x="94"/>
        <item x="69"/>
        <item x="140"/>
        <item x="59"/>
        <item x="17"/>
        <item x="141"/>
        <item x="129"/>
        <item x="5"/>
        <item x="19"/>
        <item x="14"/>
        <item x="147"/>
        <item x="112"/>
        <item x="24"/>
        <item x="168"/>
        <item x="30"/>
        <item x="55"/>
        <item x="113"/>
        <item x="63"/>
        <item x="109"/>
        <item x="27"/>
        <item x="38"/>
        <item x="28"/>
        <item x="11"/>
        <item x="73"/>
        <item x="179"/>
        <item x="163"/>
        <item x="97"/>
        <item x="165"/>
        <item x="162"/>
        <item x="142"/>
        <item x="107"/>
        <item x="22"/>
        <item x="86"/>
        <item x="143"/>
        <item x="167"/>
        <item x="3"/>
        <item x="34"/>
        <item x="4"/>
        <item x="45"/>
        <item x="26"/>
        <item x="172"/>
        <item x="122"/>
        <item x="64"/>
        <item x="98"/>
        <item x="88"/>
        <item x="176"/>
        <item x="95"/>
        <item x="169"/>
        <item x="159"/>
        <item x="120"/>
        <item x="181"/>
        <item x="116"/>
        <item x="18"/>
        <item x="148"/>
        <item x="117"/>
        <item x="78"/>
        <item x="138"/>
        <item x="72"/>
        <item x="100"/>
        <item x="56"/>
        <item x="151"/>
        <item x="150"/>
        <item x="155"/>
        <item x="57"/>
        <item x="29"/>
        <item x="106"/>
        <item x="44"/>
        <item x="183"/>
        <item x="157"/>
        <item x="99"/>
        <item x="114"/>
        <item x="54"/>
        <item x="152"/>
        <item x="39"/>
        <item x="166"/>
        <item x="105"/>
        <item x="121"/>
        <item x="103"/>
        <item x="96"/>
        <item x="67"/>
        <item x="77"/>
        <item x="130"/>
        <item x="182"/>
        <item x="33"/>
        <item x="1"/>
        <item x="43"/>
        <item x="48"/>
        <item x="108"/>
        <item x="101"/>
        <item x="71"/>
        <item x="62"/>
        <item x="164"/>
        <item x="74"/>
        <item x="60"/>
        <item x="91"/>
        <item x="40"/>
        <item x="104"/>
        <item x="125"/>
        <item x="102"/>
        <item x="145"/>
        <item x="124"/>
        <item x="21"/>
        <item x="25"/>
        <item x="158"/>
        <item x="47"/>
        <item x="154"/>
        <item x="58"/>
        <item x="53"/>
        <item x="8"/>
        <item x="46"/>
        <item x="42"/>
        <item x="41"/>
        <item x="178"/>
        <item x="31"/>
        <item x="90"/>
        <item x="118"/>
        <item x="9"/>
        <item x="115"/>
        <item x="177"/>
        <item x="111"/>
        <item x="146"/>
        <item x="83"/>
        <item x="2"/>
        <item x="10"/>
        <item x="87"/>
        <item x="93"/>
        <item x="66"/>
        <item x="161"/>
        <item x="0"/>
        <item x="7"/>
        <item x="12"/>
        <item x="76"/>
        <item x="123"/>
        <item x="133"/>
        <item x="70"/>
        <item x="136"/>
        <item x="134"/>
        <item x="149"/>
        <item x="119"/>
        <item x="174"/>
        <item x="128"/>
        <item x="84"/>
        <item x="50"/>
        <item x="92"/>
        <item x="16"/>
        <item x="173"/>
        <item x="15"/>
        <item x="20"/>
        <item x="126"/>
        <item x="160"/>
        <item x="51"/>
        <item x="132"/>
        <item x="89"/>
        <item x="36"/>
        <item x="52"/>
        <item x="80"/>
        <item x="135"/>
        <item x="82"/>
        <item x="32"/>
        <item x="6"/>
        <item x="65"/>
        <item x="61"/>
        <item x="13"/>
        <item x="170"/>
        <item x="85"/>
        <item x="37"/>
        <item x="144"/>
        <item x="156"/>
        <item x="127"/>
        <item x="81"/>
        <item x="175"/>
        <item x="35"/>
        <item x="131"/>
        <item x="110"/>
        <item x="153"/>
        <item x="137"/>
        <item x="79"/>
        <item x="23"/>
        <item x="171"/>
        <item t="default"/>
      </items>
    </pivotField>
    <pivotField numFmtId="1" showAll="0">
      <items count="151">
        <item x="19"/>
        <item x="26"/>
        <item x="17"/>
        <item x="5"/>
        <item x="96"/>
        <item x="115"/>
        <item x="25"/>
        <item x="14"/>
        <item x="56"/>
        <item x="92"/>
        <item x="68"/>
        <item x="11"/>
        <item x="83"/>
        <item x="117"/>
        <item x="91"/>
        <item x="57"/>
        <item x="137"/>
        <item x="41"/>
        <item x="64"/>
        <item x="136"/>
        <item x="27"/>
        <item x="131"/>
        <item x="63"/>
        <item x="122"/>
        <item x="123"/>
        <item x="82"/>
        <item x="51"/>
        <item x="18"/>
        <item x="149"/>
        <item x="134"/>
        <item x="4"/>
        <item x="116"/>
        <item x="107"/>
        <item x="62"/>
        <item x="128"/>
        <item x="98"/>
        <item x="55"/>
        <item x="138"/>
        <item x="49"/>
        <item x="3"/>
        <item x="24"/>
        <item x="35"/>
        <item x="44"/>
        <item x="30"/>
        <item x="135"/>
        <item x="85"/>
        <item x="121"/>
        <item x="50"/>
        <item x="84"/>
        <item x="31"/>
        <item x="146"/>
        <item x="86"/>
        <item x="40"/>
        <item x="88"/>
        <item x="125"/>
        <item x="38"/>
        <item x="89"/>
        <item x="100"/>
        <item x="87"/>
        <item x="37"/>
        <item x="124"/>
        <item x="144"/>
        <item x="90"/>
        <item x="39"/>
        <item x="148"/>
        <item x="12"/>
        <item x="1"/>
        <item x="145"/>
        <item x="93"/>
        <item x="65"/>
        <item x="112"/>
        <item x="8"/>
        <item x="59"/>
        <item x="79"/>
        <item x="119"/>
        <item x="60"/>
        <item x="36"/>
        <item x="52"/>
        <item x="103"/>
        <item x="78"/>
        <item x="21"/>
        <item x="127"/>
        <item x="97"/>
        <item x="53"/>
        <item x="142"/>
        <item x="23"/>
        <item x="42"/>
        <item x="28"/>
        <item x="104"/>
        <item x="48"/>
        <item x="10"/>
        <item x="80"/>
        <item x="102"/>
        <item x="74"/>
        <item x="147"/>
        <item x="15"/>
        <item x="120"/>
        <item x="77"/>
        <item x="67"/>
        <item x="43"/>
        <item x="7"/>
        <item x="9"/>
        <item x="130"/>
        <item x="95"/>
        <item x="101"/>
        <item x="76"/>
        <item x="45"/>
        <item x="2"/>
        <item x="66"/>
        <item x="0"/>
        <item x="81"/>
        <item x="106"/>
        <item x="141"/>
        <item x="110"/>
        <item x="111"/>
        <item x="61"/>
        <item x="73"/>
        <item x="109"/>
        <item x="133"/>
        <item x="113"/>
        <item x="20"/>
        <item x="118"/>
        <item x="13"/>
        <item x="6"/>
        <item x="72"/>
        <item x="47"/>
        <item x="33"/>
        <item x="70"/>
        <item x="46"/>
        <item x="139"/>
        <item x="132"/>
        <item x="105"/>
        <item x="99"/>
        <item x="126"/>
        <item x="34"/>
        <item x="29"/>
        <item x="58"/>
        <item x="32"/>
        <item x="16"/>
        <item x="114"/>
        <item x="71"/>
        <item x="108"/>
        <item x="129"/>
        <item x="54"/>
        <item x="69"/>
        <item x="75"/>
        <item x="94"/>
        <item x="143"/>
        <item x="22"/>
        <item x="140"/>
        <item t="default"/>
      </items>
    </pivotField>
    <pivotField numFmtId="1" showAll="0">
      <items count="179">
        <item x="32"/>
        <item x="174"/>
        <item x="127"/>
        <item x="73"/>
        <item x="67"/>
        <item x="137"/>
        <item x="49"/>
        <item x="92"/>
        <item x="138"/>
        <item x="68"/>
        <item x="17"/>
        <item x="139"/>
        <item x="22"/>
        <item x="5"/>
        <item x="62"/>
        <item x="98"/>
        <item x="19"/>
        <item x="11"/>
        <item x="14"/>
        <item x="115"/>
        <item x="111"/>
        <item x="95"/>
        <item x="24"/>
        <item x="30"/>
        <item x="71"/>
        <item x="159"/>
        <item x="117"/>
        <item x="55"/>
        <item x="112"/>
        <item x="4"/>
        <item x="27"/>
        <item x="28"/>
        <item x="38"/>
        <item x="108"/>
        <item x="172"/>
        <item x="157"/>
        <item x="177"/>
        <item x="97"/>
        <item x="161"/>
        <item x="96"/>
        <item x="140"/>
        <item x="106"/>
        <item x="84"/>
        <item x="141"/>
        <item x="3"/>
        <item x="113"/>
        <item x="34"/>
        <item x="39"/>
        <item x="175"/>
        <item x="54"/>
        <item x="45"/>
        <item x="63"/>
        <item x="155"/>
        <item x="26"/>
        <item x="169"/>
        <item x="136"/>
        <item x="165"/>
        <item x="57"/>
        <item x="120"/>
        <item x="18"/>
        <item x="86"/>
        <item x="93"/>
        <item x="162"/>
        <item x="151"/>
        <item x="144"/>
        <item x="66"/>
        <item x="168"/>
        <item x="118"/>
        <item x="148"/>
        <item x="33"/>
        <item x="29"/>
        <item x="146"/>
        <item x="99"/>
        <item x="102"/>
        <item x="94"/>
        <item x="147"/>
        <item x="76"/>
        <item x="105"/>
        <item x="56"/>
        <item x="153"/>
        <item x="44"/>
        <item x="119"/>
        <item x="104"/>
        <item x="1"/>
        <item x="176"/>
        <item x="128"/>
        <item x="160"/>
        <item x="75"/>
        <item x="173"/>
        <item x="41"/>
        <item x="43"/>
        <item x="89"/>
        <item x="72"/>
        <item x="107"/>
        <item x="61"/>
        <item x="100"/>
        <item x="21"/>
        <item x="48"/>
        <item x="74"/>
        <item x="122"/>
        <item x="25"/>
        <item x="40"/>
        <item x="154"/>
        <item x="158"/>
        <item x="70"/>
        <item x="101"/>
        <item x="58"/>
        <item x="143"/>
        <item x="59"/>
        <item x="53"/>
        <item x="88"/>
        <item x="103"/>
        <item x="123"/>
        <item x="8"/>
        <item x="171"/>
        <item x="42"/>
        <item x="46"/>
        <item x="170"/>
        <item x="47"/>
        <item x="150"/>
        <item x="116"/>
        <item x="31"/>
        <item x="110"/>
        <item x="114"/>
        <item x="16"/>
        <item x="121"/>
        <item x="9"/>
        <item x="2"/>
        <item x="91"/>
        <item x="20"/>
        <item x="85"/>
        <item x="10"/>
        <item x="81"/>
        <item x="0"/>
        <item x="134"/>
        <item x="130"/>
        <item x="7"/>
        <item x="82"/>
        <item x="65"/>
        <item x="50"/>
        <item x="156"/>
        <item x="69"/>
        <item x="131"/>
        <item x="52"/>
        <item x="51"/>
        <item x="126"/>
        <item x="132"/>
        <item x="12"/>
        <item x="166"/>
        <item x="145"/>
        <item x="167"/>
        <item x="87"/>
        <item x="90"/>
        <item x="124"/>
        <item x="78"/>
        <item x="15"/>
        <item x="6"/>
        <item x="80"/>
        <item x="36"/>
        <item x="60"/>
        <item x="133"/>
        <item x="13"/>
        <item x="37"/>
        <item x="152"/>
        <item x="64"/>
        <item x="83"/>
        <item x="163"/>
        <item x="142"/>
        <item x="125"/>
        <item x="79"/>
        <item x="129"/>
        <item x="149"/>
        <item x="109"/>
        <item x="35"/>
        <item x="135"/>
        <item x="77"/>
        <item x="164"/>
        <item x="23"/>
        <item t="default"/>
      </items>
    </pivotField>
    <pivotField numFmtId="1" showAll="0">
      <items count="174">
        <item x="24"/>
        <item x="65"/>
        <item x="104"/>
        <item x="94"/>
        <item x="107"/>
        <item x="14"/>
        <item x="157"/>
        <item x="19"/>
        <item x="152"/>
        <item x="5"/>
        <item x="37"/>
        <item x="17"/>
        <item x="73"/>
        <item x="47"/>
        <item x="102"/>
        <item x="116"/>
        <item x="33"/>
        <item x="54"/>
        <item x="123"/>
        <item x="3"/>
        <item x="168"/>
        <item x="108"/>
        <item x="53"/>
        <item x="137"/>
        <item x="27"/>
        <item x="29"/>
        <item x="43"/>
        <item x="133"/>
        <item x="26"/>
        <item x="83"/>
        <item x="119"/>
        <item x="155"/>
        <item x="81"/>
        <item x="161"/>
        <item x="89"/>
        <item x="57"/>
        <item x="99"/>
        <item x="69"/>
        <item x="44"/>
        <item x="61"/>
        <item x="165"/>
        <item x="141"/>
        <item x="158"/>
        <item x="156"/>
        <item x="60"/>
        <item x="11"/>
        <item x="154"/>
        <item x="95"/>
        <item x="91"/>
        <item x="170"/>
        <item x="138"/>
        <item x="92"/>
        <item x="101"/>
        <item x="72"/>
        <item x="149"/>
        <item x="140"/>
        <item x="46"/>
        <item x="151"/>
        <item x="4"/>
        <item x="147"/>
        <item x="22"/>
        <item x="18"/>
        <item x="67"/>
        <item x="28"/>
        <item x="78"/>
        <item x="42"/>
        <item x="100"/>
        <item x="115"/>
        <item x="144"/>
        <item x="132"/>
        <item x="145"/>
        <item x="68"/>
        <item x="153"/>
        <item x="55"/>
        <item x="96"/>
        <item x="103"/>
        <item x="142"/>
        <item x="171"/>
        <item x="9"/>
        <item x="124"/>
        <item x="111"/>
        <item x="112"/>
        <item x="98"/>
        <item x="1"/>
        <item x="109"/>
        <item x="90"/>
        <item x="172"/>
        <item x="52"/>
        <item x="30"/>
        <item x="93"/>
        <item x="38"/>
        <item x="59"/>
        <item x="64"/>
        <item x="70"/>
        <item x="39"/>
        <item x="32"/>
        <item x="135"/>
        <item x="129"/>
        <item x="86"/>
        <item x="12"/>
        <item x="35"/>
        <item x="97"/>
        <item x="63"/>
        <item x="45"/>
        <item x="110"/>
        <item x="118"/>
        <item x="25"/>
        <item x="148"/>
        <item x="113"/>
        <item x="139"/>
        <item x="41"/>
        <item x="21"/>
        <item x="8"/>
        <item x="167"/>
        <item x="15"/>
        <item x="106"/>
        <item x="163"/>
        <item x="10"/>
        <item x="169"/>
        <item x="51"/>
        <item x="62"/>
        <item x="56"/>
        <item x="2"/>
        <item x="82"/>
        <item x="127"/>
        <item x="87"/>
        <item x="166"/>
        <item x="0"/>
        <item x="85"/>
        <item x="7"/>
        <item x="88"/>
        <item x="159"/>
        <item x="66"/>
        <item x="40"/>
        <item x="80"/>
        <item x="128"/>
        <item x="130"/>
        <item x="34"/>
        <item x="120"/>
        <item x="117"/>
        <item x="76"/>
        <item x="136"/>
        <item x="122"/>
        <item x="121"/>
        <item x="162"/>
        <item x="84"/>
        <item x="77"/>
        <item x="48"/>
        <item x="71"/>
        <item x="79"/>
        <item x="75"/>
        <item x="16"/>
        <item x="49"/>
        <item x="134"/>
        <item x="20"/>
        <item x="114"/>
        <item x="105"/>
        <item x="50"/>
        <item x="126"/>
        <item x="150"/>
        <item x="6"/>
        <item x="146"/>
        <item x="13"/>
        <item x="125"/>
        <item x="31"/>
        <item x="58"/>
        <item x="36"/>
        <item x="143"/>
        <item x="131"/>
        <item x="164"/>
        <item x="74"/>
        <item x="23"/>
        <item x="160"/>
        <item t="default"/>
      </items>
    </pivotField>
    <pivotField numFmtId="1" showAll="0">
      <items count="123">
        <item x="14"/>
        <item x="25"/>
        <item x="45"/>
        <item x="37"/>
        <item x="5"/>
        <item x="47"/>
        <item x="51"/>
        <item x="27"/>
        <item x="68"/>
        <item x="40"/>
        <item x="3"/>
        <item x="64"/>
        <item x="32"/>
        <item x="22"/>
        <item x="88"/>
        <item x="23"/>
        <item x="4"/>
        <item x="57"/>
        <item x="24"/>
        <item x="108"/>
        <item x="35"/>
        <item x="58"/>
        <item x="106"/>
        <item x="82"/>
        <item x="54"/>
        <item x="36"/>
        <item x="109"/>
        <item x="11"/>
        <item x="107"/>
        <item x="110"/>
        <item x="56"/>
        <item x="50"/>
        <item x="19"/>
        <item x="100"/>
        <item x="34"/>
        <item x="112"/>
        <item x="77"/>
        <item x="83"/>
        <item x="121"/>
        <item x="7"/>
        <item x="102"/>
        <item x="9"/>
        <item x="80"/>
        <item x="92"/>
        <item x="0"/>
        <item x="39"/>
        <item x="1"/>
        <item x="15"/>
        <item x="79"/>
        <item x="87"/>
        <item x="74"/>
        <item x="96"/>
        <item x="84"/>
        <item x="120"/>
        <item x="75"/>
        <item x="31"/>
        <item x="66"/>
        <item x="38"/>
        <item x="21"/>
        <item x="49"/>
        <item x="29"/>
        <item x="55"/>
        <item x="116"/>
        <item x="97"/>
        <item x="95"/>
        <item x="12"/>
        <item x="8"/>
        <item x="70"/>
        <item x="76"/>
        <item x="10"/>
        <item x="111"/>
        <item x="16"/>
        <item x="44"/>
        <item x="103"/>
        <item x="85"/>
        <item x="43"/>
        <item x="52"/>
        <item x="59"/>
        <item x="42"/>
        <item x="104"/>
        <item x="73"/>
        <item x="71"/>
        <item x="119"/>
        <item x="46"/>
        <item x="67"/>
        <item x="72"/>
        <item x="81"/>
        <item x="33"/>
        <item x="2"/>
        <item x="86"/>
        <item x="53"/>
        <item x="118"/>
        <item x="26"/>
        <item x="117"/>
        <item x="18"/>
        <item x="115"/>
        <item x="113"/>
        <item x="89"/>
        <item x="98"/>
        <item x="91"/>
        <item x="90"/>
        <item x="41"/>
        <item x="61"/>
        <item x="69"/>
        <item x="94"/>
        <item x="17"/>
        <item x="101"/>
        <item x="65"/>
        <item x="28"/>
        <item x="62"/>
        <item x="48"/>
        <item x="63"/>
        <item x="13"/>
        <item x="6"/>
        <item x="78"/>
        <item x="99"/>
        <item x="105"/>
        <item x="93"/>
        <item x="30"/>
        <item x="20"/>
        <item x="60"/>
        <item x="114"/>
        <item t="default"/>
      </items>
    </pivotField>
    <pivotField numFmtId="1" showAll="0">
      <items count="39">
        <item x="3"/>
        <item x="4"/>
        <item x="16"/>
        <item x="15"/>
        <item x="7"/>
        <item x="20"/>
        <item x="1"/>
        <item x="11"/>
        <item x="2"/>
        <item x="31"/>
        <item x="0"/>
        <item x="12"/>
        <item x="30"/>
        <item x="9"/>
        <item x="27"/>
        <item x="18"/>
        <item x="34"/>
        <item x="17"/>
        <item x="28"/>
        <item x="21"/>
        <item x="32"/>
        <item x="6"/>
        <item x="19"/>
        <item x="22"/>
        <item x="24"/>
        <item x="8"/>
        <item x="13"/>
        <item x="35"/>
        <item x="26"/>
        <item x="5"/>
        <item x="25"/>
        <item x="36"/>
        <item x="29"/>
        <item x="14"/>
        <item x="33"/>
        <item x="10"/>
        <item x="23"/>
        <item x="37"/>
        <item t="default"/>
      </items>
    </pivotField>
    <pivotField numFmtId="1" showAll="0">
      <items count="104">
        <item x="3"/>
        <item x="14"/>
        <item x="21"/>
        <item x="98"/>
        <item x="24"/>
        <item x="4"/>
        <item x="20"/>
        <item x="26"/>
        <item x="93"/>
        <item x="17"/>
        <item x="13"/>
        <item x="88"/>
        <item x="58"/>
        <item x="0"/>
        <item x="62"/>
        <item x="22"/>
        <item x="59"/>
        <item x="67"/>
        <item x="90"/>
        <item x="101"/>
        <item x="8"/>
        <item x="81"/>
        <item x="37"/>
        <item x="89"/>
        <item x="85"/>
        <item x="80"/>
        <item x="92"/>
        <item x="1"/>
        <item x="12"/>
        <item x="83"/>
        <item x="32"/>
        <item x="28"/>
        <item x="33"/>
        <item x="30"/>
        <item x="54"/>
        <item x="87"/>
        <item x="23"/>
        <item x="44"/>
        <item x="50"/>
        <item x="73"/>
        <item x="66"/>
        <item x="45"/>
        <item x="36"/>
        <item x="7"/>
        <item x="51"/>
        <item x="78"/>
        <item x="76"/>
        <item x="38"/>
        <item x="84"/>
        <item x="60"/>
        <item x="31"/>
        <item x="6"/>
        <item x="29"/>
        <item x="91"/>
        <item x="100"/>
        <item x="40"/>
        <item x="63"/>
        <item x="19"/>
        <item x="65"/>
        <item x="41"/>
        <item x="39"/>
        <item x="55"/>
        <item x="77"/>
        <item x="42"/>
        <item x="15"/>
        <item x="96"/>
        <item x="97"/>
        <item x="75"/>
        <item x="52"/>
        <item x="16"/>
        <item x="10"/>
        <item x="102"/>
        <item x="9"/>
        <item x="99"/>
        <item x="68"/>
        <item x="61"/>
        <item x="56"/>
        <item x="2"/>
        <item x="57"/>
        <item x="69"/>
        <item x="43"/>
        <item x="72"/>
        <item x="94"/>
        <item x="35"/>
        <item x="47"/>
        <item x="34"/>
        <item x="70"/>
        <item x="11"/>
        <item x="53"/>
        <item x="25"/>
        <item x="49"/>
        <item x="48"/>
        <item x="5"/>
        <item x="82"/>
        <item x="79"/>
        <item x="71"/>
        <item x="74"/>
        <item x="64"/>
        <item x="86"/>
        <item x="27"/>
        <item x="95"/>
        <item x="46"/>
        <item x="18"/>
        <item t="default"/>
      </items>
    </pivotField>
    <pivotField numFmtId="2" showAll="0">
      <items count="146">
        <item x="19"/>
        <item x="119"/>
        <item x="110"/>
        <item x="136"/>
        <item x="28"/>
        <item x="22"/>
        <item x="12"/>
        <item x="124"/>
        <item x="98"/>
        <item x="88"/>
        <item x="59"/>
        <item x="105"/>
        <item x="68"/>
        <item x="140"/>
        <item x="138"/>
        <item x="40"/>
        <item x="62"/>
        <item x="97"/>
        <item x="55"/>
        <item x="78"/>
        <item x="39"/>
        <item x="73"/>
        <item x="15"/>
        <item x="130"/>
        <item x="141"/>
        <item x="77"/>
        <item x="29"/>
        <item x="115"/>
        <item x="8"/>
        <item x="46"/>
        <item x="85"/>
        <item x="75"/>
        <item x="32"/>
        <item x="13"/>
        <item x="63"/>
        <item x="10"/>
        <item x="57"/>
        <item x="52"/>
        <item x="96"/>
        <item x="129"/>
        <item x="95"/>
        <item x="53"/>
        <item x="79"/>
        <item x="114"/>
        <item x="112"/>
        <item x="50"/>
        <item x="37"/>
        <item x="27"/>
        <item x="132"/>
        <item x="86"/>
        <item x="43"/>
        <item x="6"/>
        <item x="7"/>
        <item x="18"/>
        <item x="116"/>
        <item x="122"/>
        <item x="133"/>
        <item x="102"/>
        <item x="121"/>
        <item x="24"/>
        <item x="65"/>
        <item x="117"/>
        <item x="69"/>
        <item x="30"/>
        <item x="38"/>
        <item x="107"/>
        <item x="83"/>
        <item x="44"/>
        <item x="137"/>
        <item x="56"/>
        <item x="135"/>
        <item x="80"/>
        <item x="90"/>
        <item x="82"/>
        <item x="34"/>
        <item x="87"/>
        <item x="49"/>
        <item x="104"/>
        <item x="21"/>
        <item x="41"/>
        <item x="11"/>
        <item x="91"/>
        <item x="66"/>
        <item x="1"/>
        <item x="144"/>
        <item x="100"/>
        <item x="76"/>
        <item x="93"/>
        <item x="25"/>
        <item x="51"/>
        <item x="36"/>
        <item x="109"/>
        <item x="42"/>
        <item x="94"/>
        <item x="9"/>
        <item x="5"/>
        <item x="0"/>
        <item x="23"/>
        <item x="118"/>
        <item x="20"/>
        <item x="108"/>
        <item x="61"/>
        <item x="81"/>
        <item x="71"/>
        <item x="131"/>
        <item x="2"/>
        <item x="17"/>
        <item x="4"/>
        <item x="58"/>
        <item x="45"/>
        <item x="103"/>
        <item x="106"/>
        <item x="60"/>
        <item x="111"/>
        <item x="26"/>
        <item x="89"/>
        <item x="48"/>
        <item x="64"/>
        <item x="35"/>
        <item x="134"/>
        <item x="70"/>
        <item x="120"/>
        <item x="3"/>
        <item x="127"/>
        <item x="128"/>
        <item x="113"/>
        <item x="101"/>
        <item x="84"/>
        <item x="125"/>
        <item x="14"/>
        <item x="72"/>
        <item x="47"/>
        <item x="126"/>
        <item x="31"/>
        <item x="33"/>
        <item x="142"/>
        <item x="123"/>
        <item x="92"/>
        <item x="99"/>
        <item x="67"/>
        <item x="54"/>
        <item x="74"/>
        <item x="16"/>
        <item x="139"/>
        <item x="143"/>
        <item t="default"/>
      </items>
    </pivotField>
    <pivotField numFmtId="2" showAll="0">
      <items count="178">
        <item x="32"/>
        <item x="115"/>
        <item x="167"/>
        <item x="113"/>
        <item x="22"/>
        <item x="74"/>
        <item x="125"/>
        <item x="176"/>
        <item x="63"/>
        <item x="96"/>
        <item x="11"/>
        <item x="41"/>
        <item x="94"/>
        <item x="4"/>
        <item x="39"/>
        <item x="16"/>
        <item x="54"/>
        <item x="111"/>
        <item x="20"/>
        <item x="163"/>
        <item x="128"/>
        <item x="67"/>
        <item x="33"/>
        <item x="142"/>
        <item x="172"/>
        <item x="157"/>
        <item x="61"/>
        <item x="52"/>
        <item x="71"/>
        <item x="82"/>
        <item x="51"/>
        <item x="6"/>
        <item x="87"/>
        <item x="58"/>
        <item x="93"/>
        <item x="119"/>
        <item x="57"/>
        <item x="101"/>
        <item x="72"/>
        <item x="21"/>
        <item x="50"/>
        <item x="147"/>
        <item x="174"/>
        <item x="150"/>
        <item x="37"/>
        <item x="53"/>
        <item x="134"/>
        <item x="152"/>
        <item x="25"/>
        <item x="17"/>
        <item x="88"/>
        <item x="120"/>
        <item x="169"/>
        <item x="151"/>
        <item x="95"/>
        <item x="165"/>
        <item x="13"/>
        <item x="132"/>
        <item x="1"/>
        <item x="124"/>
        <item x="78"/>
        <item x="18"/>
        <item x="73"/>
        <item x="148"/>
        <item x="8"/>
        <item x="175"/>
        <item x="170"/>
        <item x="153"/>
        <item x="90"/>
        <item x="126"/>
        <item x="77"/>
        <item x="86"/>
        <item x="40"/>
        <item x="100"/>
        <item x="30"/>
        <item x="62"/>
        <item x="42"/>
        <item x="141"/>
        <item x="29"/>
        <item x="59"/>
        <item x="2"/>
        <item x="80"/>
        <item x="159"/>
        <item x="0"/>
        <item x="109"/>
        <item x="127"/>
        <item x="130"/>
        <item x="84"/>
        <item x="7"/>
        <item x="69"/>
        <item x="55"/>
        <item x="117"/>
        <item x="114"/>
        <item x="46"/>
        <item x="133"/>
        <item x="143"/>
        <item x="122"/>
        <item x="145"/>
        <item x="75"/>
        <item x="106"/>
        <item x="137"/>
        <item x="5"/>
        <item x="103"/>
        <item x="23"/>
        <item x="129"/>
        <item x="104"/>
        <item x="99"/>
        <item x="10"/>
        <item x="108"/>
        <item x="168"/>
        <item x="112"/>
        <item x="161"/>
        <item x="28"/>
        <item x="173"/>
        <item x="98"/>
        <item x="45"/>
        <item x="43"/>
        <item x="64"/>
        <item x="140"/>
        <item x="146"/>
        <item x="156"/>
        <item x="27"/>
        <item x="83"/>
        <item x="26"/>
        <item x="171"/>
        <item x="139"/>
        <item x="31"/>
        <item x="14"/>
        <item x="89"/>
        <item x="92"/>
        <item x="160"/>
        <item x="19"/>
        <item x="79"/>
        <item x="164"/>
        <item x="34"/>
        <item x="123"/>
        <item x="135"/>
        <item x="85"/>
        <item x="3"/>
        <item x="66"/>
        <item x="70"/>
        <item x="166"/>
        <item x="9"/>
        <item x="154"/>
        <item x="110"/>
        <item x="144"/>
        <item x="15"/>
        <item x="81"/>
        <item x="118"/>
        <item x="36"/>
        <item x="12"/>
        <item x="149"/>
        <item x="47"/>
        <item x="136"/>
        <item x="65"/>
        <item x="35"/>
        <item x="38"/>
        <item x="162"/>
        <item x="44"/>
        <item x="68"/>
        <item x="60"/>
        <item x="138"/>
        <item x="97"/>
        <item x="158"/>
        <item x="56"/>
        <item x="105"/>
        <item x="91"/>
        <item x="155"/>
        <item x="121"/>
        <item x="107"/>
        <item x="102"/>
        <item x="131"/>
        <item x="116"/>
        <item x="24"/>
        <item x="76"/>
        <item x="48"/>
        <item x="49"/>
        <item t="default"/>
      </items>
    </pivotField>
    <pivotField showAll="0">
      <items count="156">
        <item x="19"/>
        <item x="127"/>
        <item x="119"/>
        <item x="143"/>
        <item x="28"/>
        <item x="105"/>
        <item x="12"/>
        <item x="122"/>
        <item x="133"/>
        <item x="69"/>
        <item x="60"/>
        <item x="96"/>
        <item x="145"/>
        <item x="112"/>
        <item x="63"/>
        <item x="83"/>
        <item x="15"/>
        <item x="41"/>
        <item x="137"/>
        <item x="148"/>
        <item x="56"/>
        <item x="79"/>
        <item x="80"/>
        <item x="47"/>
        <item x="90"/>
        <item x="124"/>
        <item x="97"/>
        <item x="77"/>
        <item x="29"/>
        <item x="95"/>
        <item x="93"/>
        <item x="149"/>
        <item x="115"/>
        <item x="136"/>
        <item x="128"/>
        <item x="58"/>
        <item x="75"/>
        <item x="8"/>
        <item x="10"/>
        <item x="139"/>
        <item x="103"/>
        <item x="27"/>
        <item x="150"/>
        <item x="37"/>
        <item x="24"/>
        <item x="121"/>
        <item x="44"/>
        <item x="131"/>
        <item x="92"/>
        <item x="13"/>
        <item x="113"/>
        <item x="130"/>
        <item x="134"/>
        <item x="7"/>
        <item x="30"/>
        <item x="34"/>
        <item x="111"/>
        <item x="85"/>
        <item x="86"/>
        <item x="125"/>
        <item x="40"/>
        <item x="22"/>
        <item x="64"/>
        <item x="45"/>
        <item x="52"/>
        <item x="98"/>
        <item x="18"/>
        <item x="70"/>
        <item x="42"/>
        <item x="53"/>
        <item x="48"/>
        <item x="66"/>
        <item x="81"/>
        <item x="39"/>
        <item x="147"/>
        <item x="43"/>
        <item x="114"/>
        <item x="32"/>
        <item x="101"/>
        <item x="9"/>
        <item x="6"/>
        <item x="141"/>
        <item x="107"/>
        <item x="144"/>
        <item x="78"/>
        <item x="82"/>
        <item x="5"/>
        <item x="100"/>
        <item x="109"/>
        <item x="23"/>
        <item x="54"/>
        <item x="59"/>
        <item x="46"/>
        <item x="91"/>
        <item x="153"/>
        <item x="126"/>
        <item x="0"/>
        <item x="118"/>
        <item x="1"/>
        <item x="62"/>
        <item x="102"/>
        <item x="26"/>
        <item x="73"/>
        <item x="35"/>
        <item x="21"/>
        <item x="94"/>
        <item x="129"/>
        <item x="51"/>
        <item x="84"/>
        <item x="2"/>
        <item x="25"/>
        <item x="72"/>
        <item x="140"/>
        <item x="123"/>
        <item x="135"/>
        <item x="3"/>
        <item x="38"/>
        <item x="154"/>
        <item x="36"/>
        <item x="108"/>
        <item x="116"/>
        <item x="117"/>
        <item x="14"/>
        <item x="74"/>
        <item x="17"/>
        <item x="104"/>
        <item x="71"/>
        <item x="110"/>
        <item x="120"/>
        <item x="33"/>
        <item x="87"/>
        <item x="65"/>
        <item x="89"/>
        <item x="88"/>
        <item x="142"/>
        <item x="138"/>
        <item x="11"/>
        <item x="57"/>
        <item x="20"/>
        <item x="151"/>
        <item x="50"/>
        <item x="99"/>
        <item x="61"/>
        <item x="49"/>
        <item x="4"/>
        <item x="76"/>
        <item x="68"/>
        <item x="132"/>
        <item x="67"/>
        <item x="55"/>
        <item x="16"/>
        <item x="152"/>
        <item x="146"/>
        <item x="106"/>
        <item x="31"/>
        <item t="default"/>
      </items>
    </pivotField>
    <pivotField numFmtId="1" showAll="0">
      <items count="184">
        <item x="179"/>
        <item x="75"/>
        <item x="68"/>
        <item x="139"/>
        <item x="49"/>
        <item x="94"/>
        <item x="69"/>
        <item x="164"/>
        <item x="59"/>
        <item x="17"/>
        <item x="140"/>
        <item x="5"/>
        <item x="100"/>
        <item x="19"/>
        <item x="14"/>
        <item x="146"/>
        <item x="113"/>
        <item x="63"/>
        <item x="166"/>
        <item x="24"/>
        <item x="30"/>
        <item x="11"/>
        <item x="55"/>
        <item x="114"/>
        <item x="28"/>
        <item x="38"/>
        <item x="73"/>
        <item x="27"/>
        <item x="110"/>
        <item x="97"/>
        <item x="177"/>
        <item x="160"/>
        <item x="162"/>
        <item x="22"/>
        <item x="108"/>
        <item x="141"/>
        <item x="142"/>
        <item x="4"/>
        <item x="165"/>
        <item x="86"/>
        <item x="3"/>
        <item x="34"/>
        <item x="45"/>
        <item x="64"/>
        <item x="174"/>
        <item x="26"/>
        <item x="170"/>
        <item x="157"/>
        <item x="123"/>
        <item x="98"/>
        <item x="95"/>
        <item x="88"/>
        <item x="118"/>
        <item x="167"/>
        <item x="117"/>
        <item x="121"/>
        <item x="18"/>
        <item x="180"/>
        <item x="138"/>
        <item x="147"/>
        <item x="182"/>
        <item x="57"/>
        <item x="78"/>
        <item x="101"/>
        <item x="72"/>
        <item x="149"/>
        <item x="99"/>
        <item x="56"/>
        <item x="29"/>
        <item x="115"/>
        <item x="153"/>
        <item x="44"/>
        <item x="107"/>
        <item x="155"/>
        <item x="39"/>
        <item x="96"/>
        <item x="104"/>
        <item x="106"/>
        <item x="54"/>
        <item x="150"/>
        <item x="122"/>
        <item x="163"/>
        <item x="181"/>
        <item x="130"/>
        <item x="67"/>
        <item x="1"/>
        <item x="77"/>
        <item x="43"/>
        <item x="33"/>
        <item x="48"/>
        <item x="102"/>
        <item x="91"/>
        <item x="109"/>
        <item x="62"/>
        <item x="71"/>
        <item x="161"/>
        <item x="74"/>
        <item x="103"/>
        <item x="60"/>
        <item x="40"/>
        <item x="21"/>
        <item x="105"/>
        <item x="178"/>
        <item x="25"/>
        <item x="144"/>
        <item x="126"/>
        <item x="125"/>
        <item x="58"/>
        <item x="156"/>
        <item x="41"/>
        <item x="53"/>
        <item x="176"/>
        <item x="8"/>
        <item x="47"/>
        <item x="90"/>
        <item x="152"/>
        <item x="46"/>
        <item x="42"/>
        <item x="31"/>
        <item x="175"/>
        <item x="116"/>
        <item x="119"/>
        <item x="9"/>
        <item x="112"/>
        <item x="145"/>
        <item x="2"/>
        <item x="87"/>
        <item x="83"/>
        <item x="93"/>
        <item x="10"/>
        <item x="66"/>
        <item x="159"/>
        <item x="76"/>
        <item x="7"/>
        <item x="0"/>
        <item x="12"/>
        <item x="124"/>
        <item x="136"/>
        <item x="70"/>
        <item x="133"/>
        <item x="148"/>
        <item x="134"/>
        <item x="84"/>
        <item x="120"/>
        <item x="50"/>
        <item x="129"/>
        <item x="172"/>
        <item x="92"/>
        <item x="171"/>
        <item x="20"/>
        <item x="16"/>
        <item x="15"/>
        <item x="127"/>
        <item x="132"/>
        <item x="89"/>
        <item x="51"/>
        <item x="158"/>
        <item x="36"/>
        <item x="80"/>
        <item x="52"/>
        <item x="82"/>
        <item x="135"/>
        <item x="32"/>
        <item x="6"/>
        <item x="65"/>
        <item x="37"/>
        <item x="13"/>
        <item x="61"/>
        <item x="168"/>
        <item x="85"/>
        <item x="143"/>
        <item x="154"/>
        <item x="128"/>
        <item x="81"/>
        <item x="173"/>
        <item x="35"/>
        <item x="111"/>
        <item x="131"/>
        <item x="151"/>
        <item x="137"/>
        <item x="79"/>
        <item x="23"/>
        <item x="169"/>
        <item t="default"/>
      </items>
    </pivotField>
    <pivotField numFmtId="1" showAll="0">
      <items count="163">
        <item x="82"/>
        <item x="24"/>
        <item x="64"/>
        <item x="105"/>
        <item x="14"/>
        <item x="67"/>
        <item x="132"/>
        <item x="104"/>
        <item x="17"/>
        <item x="19"/>
        <item x="5"/>
        <item x="146"/>
        <item x="53"/>
        <item x="52"/>
        <item x="72"/>
        <item x="37"/>
        <item x="44"/>
        <item x="3"/>
        <item x="100"/>
        <item x="88"/>
        <item x="33"/>
        <item x="26"/>
        <item x="99"/>
        <item x="47"/>
        <item x="118"/>
        <item x="80"/>
        <item x="148"/>
        <item x="32"/>
        <item x="68"/>
        <item x="29"/>
        <item x="27"/>
        <item x="56"/>
        <item x="153"/>
        <item x="91"/>
        <item x="135"/>
        <item x="93"/>
        <item x="150"/>
        <item x="140"/>
        <item x="43"/>
        <item x="149"/>
        <item x="138"/>
        <item x="60"/>
        <item x="97"/>
        <item x="71"/>
        <item x="128"/>
        <item x="77"/>
        <item x="134"/>
        <item x="156"/>
        <item x="90"/>
        <item x="145"/>
        <item x="18"/>
        <item x="108"/>
        <item x="4"/>
        <item x="11"/>
        <item x="59"/>
        <item x="63"/>
        <item x="22"/>
        <item x="127"/>
        <item x="28"/>
        <item x="101"/>
        <item x="69"/>
        <item x="112"/>
        <item x="46"/>
        <item x="147"/>
        <item x="38"/>
        <item x="98"/>
        <item x="137"/>
        <item x="39"/>
        <item x="142"/>
        <item x="141"/>
        <item x="66"/>
        <item x="54"/>
        <item x="109"/>
        <item x="42"/>
        <item x="96"/>
        <item x="94"/>
        <item x="106"/>
        <item x="1"/>
        <item x="0"/>
        <item x="58"/>
        <item x="119"/>
        <item x="9"/>
        <item x="130"/>
        <item x="144"/>
        <item x="92"/>
        <item x="110"/>
        <item x="30"/>
        <item x="114"/>
        <item x="89"/>
        <item x="161"/>
        <item x="15"/>
        <item x="35"/>
        <item x="160"/>
        <item x="111"/>
        <item x="41"/>
        <item x="143"/>
        <item x="45"/>
        <item x="123"/>
        <item x="85"/>
        <item x="79"/>
        <item x="25"/>
        <item x="159"/>
        <item x="154"/>
        <item x="21"/>
        <item x="103"/>
        <item x="16"/>
        <item x="7"/>
        <item x="95"/>
        <item x="12"/>
        <item x="10"/>
        <item x="124"/>
        <item x="133"/>
        <item x="51"/>
        <item x="8"/>
        <item x="131"/>
        <item x="122"/>
        <item x="107"/>
        <item x="31"/>
        <item x="158"/>
        <item x="61"/>
        <item x="113"/>
        <item x="157"/>
        <item x="50"/>
        <item x="84"/>
        <item x="2"/>
        <item x="40"/>
        <item x="55"/>
        <item x="86"/>
        <item x="155"/>
        <item x="70"/>
        <item x="62"/>
        <item x="81"/>
        <item x="87"/>
        <item x="65"/>
        <item x="57"/>
        <item x="151"/>
        <item x="49"/>
        <item x="117"/>
        <item x="139"/>
        <item x="125"/>
        <item x="116"/>
        <item x="115"/>
        <item x="20"/>
        <item x="48"/>
        <item x="83"/>
        <item x="78"/>
        <item x="74"/>
        <item x="121"/>
        <item x="34"/>
        <item x="129"/>
        <item x="75"/>
        <item x="76"/>
        <item x="13"/>
        <item x="120"/>
        <item x="6"/>
        <item x="126"/>
        <item x="102"/>
        <item x="36"/>
        <item x="136"/>
        <item x="23"/>
        <item x="73"/>
        <item x="152"/>
        <item t="default"/>
      </items>
    </pivotField>
    <pivotField dataField="1" numFmtId="2" showAll="0">
      <items count="170">
        <item x="82"/>
        <item x="23"/>
        <item x="114"/>
        <item x="67"/>
        <item x="103"/>
        <item x="77"/>
        <item x="53"/>
        <item x="79"/>
        <item x="107"/>
        <item x="47"/>
        <item x="56"/>
        <item x="72"/>
        <item x="119"/>
        <item x="32"/>
        <item x="98"/>
        <item x="35"/>
        <item x="154"/>
        <item x="100"/>
        <item x="14"/>
        <item x="161"/>
        <item x="151"/>
        <item x="61"/>
        <item x="0"/>
        <item x="143"/>
        <item x="44"/>
        <item x="89"/>
        <item x="46"/>
        <item x="128"/>
        <item x="116"/>
        <item x="113"/>
        <item x="71"/>
        <item x="3"/>
        <item x="26"/>
        <item x="148"/>
        <item x="145"/>
        <item x="147"/>
        <item x="157"/>
        <item x="57"/>
        <item x="121"/>
        <item x="31"/>
        <item x="25"/>
        <item x="160"/>
        <item x="43"/>
        <item x="101"/>
        <item x="15"/>
        <item x="94"/>
        <item x="33"/>
        <item x="13"/>
        <item x="149"/>
        <item x="133"/>
        <item x="69"/>
        <item x="9"/>
        <item x="139"/>
        <item x="146"/>
        <item x="132"/>
        <item x="166"/>
        <item x="34"/>
        <item x="153"/>
        <item x="50"/>
        <item x="39"/>
        <item x="102"/>
        <item x="112"/>
        <item x="130"/>
        <item x="88"/>
        <item x="63"/>
        <item x="92"/>
        <item x="80"/>
        <item x="159"/>
        <item x="138"/>
        <item x="52"/>
        <item x="140"/>
        <item x="30"/>
        <item x="37"/>
        <item x="135"/>
        <item x="75"/>
        <item x="106"/>
        <item x="142"/>
        <item x="7"/>
        <item x="66"/>
        <item x="127"/>
        <item x="64"/>
        <item x="86"/>
        <item x="156"/>
        <item x="49"/>
        <item x="125"/>
        <item x="12"/>
        <item x="136"/>
        <item x="10"/>
        <item x="115"/>
        <item x="41"/>
        <item x="60"/>
        <item x="105"/>
        <item x="18"/>
        <item x="45"/>
        <item x="141"/>
        <item x="118"/>
        <item x="17"/>
        <item x="117"/>
        <item x="155"/>
        <item x="42"/>
        <item x="58"/>
        <item x="158"/>
        <item x="95"/>
        <item x="38"/>
        <item x="99"/>
        <item x="28"/>
        <item x="120"/>
        <item x="110"/>
        <item x="122"/>
        <item x="162"/>
        <item x="5"/>
        <item x="104"/>
        <item x="137"/>
        <item x="74"/>
        <item x="70"/>
        <item x="83"/>
        <item x="22"/>
        <item x="131"/>
        <item x="68"/>
        <item x="134"/>
        <item x="65"/>
        <item x="19"/>
        <item x="1"/>
        <item x="27"/>
        <item x="2"/>
        <item x="62"/>
        <item x="76"/>
        <item x="48"/>
        <item x="109"/>
        <item x="24"/>
        <item x="126"/>
        <item x="165"/>
        <item x="16"/>
        <item x="129"/>
        <item x="144"/>
        <item x="81"/>
        <item x="124"/>
        <item x="97"/>
        <item x="87"/>
        <item x="78"/>
        <item x="8"/>
        <item x="51"/>
        <item x="163"/>
        <item x="20"/>
        <item x="36"/>
        <item x="85"/>
        <item x="54"/>
        <item x="4"/>
        <item x="6"/>
        <item x="73"/>
        <item x="152"/>
        <item x="164"/>
        <item x="84"/>
        <item x="29"/>
        <item x="108"/>
        <item x="90"/>
        <item x="96"/>
        <item x="167"/>
        <item x="111"/>
        <item x="40"/>
        <item x="150"/>
        <item x="91"/>
        <item x="21"/>
        <item x="55"/>
        <item x="93"/>
        <item x="168"/>
        <item x="11"/>
        <item x="59"/>
        <item x="123"/>
        <item t="default"/>
      </items>
    </pivotField>
    <pivotField axis="axisRow" showAll="0">
      <items count="7">
        <item x="2"/>
        <item x="3"/>
        <item x="0"/>
        <item x="1"/>
        <item x="5"/>
        <item x="4"/>
        <item t="default"/>
      </items>
    </pivotField>
  </pivotFields>
  <rowFields count="1">
    <field x="14"/>
  </rowFields>
  <rowItems count="7">
    <i>
      <x/>
    </i>
    <i>
      <x v="1"/>
    </i>
    <i>
      <x v="2"/>
    </i>
    <i>
      <x v="3"/>
    </i>
    <i>
      <x v="4"/>
    </i>
    <i>
      <x v="5"/>
    </i>
    <i t="grand">
      <x/>
    </i>
  </rowItems>
  <colItems count="1">
    <i/>
  </colItems>
  <dataFields count="1">
    <dataField name="Sum of 1 week % increase" fld="13" baseField="0" baseItem="0"/>
  </dataFields>
  <chartFormats count="8">
    <chartFormat chart="42" format="1" series="1">
      <pivotArea type="data" outline="0" fieldPosition="0">
        <references count="1">
          <reference field="4294967294" count="1" selected="0">
            <x v="0"/>
          </reference>
        </references>
      </pivotArea>
    </chartFormat>
    <chartFormat chart="45" format="16" series="1">
      <pivotArea type="data" outline="0" fieldPosition="0">
        <references count="1">
          <reference field="4294967294" count="1" selected="0">
            <x v="0"/>
          </reference>
        </references>
      </pivotArea>
    </chartFormat>
    <chartFormat chart="45" format="17">
      <pivotArea type="data" outline="0" fieldPosition="0">
        <references count="2">
          <reference field="4294967294" count="1" selected="0">
            <x v="0"/>
          </reference>
          <reference field="14" count="1" selected="0">
            <x v="0"/>
          </reference>
        </references>
      </pivotArea>
    </chartFormat>
    <chartFormat chart="45" format="18">
      <pivotArea type="data" outline="0" fieldPosition="0">
        <references count="2">
          <reference field="4294967294" count="1" selected="0">
            <x v="0"/>
          </reference>
          <reference field="14" count="1" selected="0">
            <x v="1"/>
          </reference>
        </references>
      </pivotArea>
    </chartFormat>
    <chartFormat chart="45" format="19">
      <pivotArea type="data" outline="0" fieldPosition="0">
        <references count="2">
          <reference field="4294967294" count="1" selected="0">
            <x v="0"/>
          </reference>
          <reference field="14" count="1" selected="0">
            <x v="2"/>
          </reference>
        </references>
      </pivotArea>
    </chartFormat>
    <chartFormat chart="45" format="20">
      <pivotArea type="data" outline="0" fieldPosition="0">
        <references count="2">
          <reference field="4294967294" count="1" selected="0">
            <x v="0"/>
          </reference>
          <reference field="14" count="1" selected="0">
            <x v="3"/>
          </reference>
        </references>
      </pivotArea>
    </chartFormat>
    <chartFormat chart="45" format="21">
      <pivotArea type="data" outline="0" fieldPosition="0">
        <references count="2">
          <reference field="4294967294" count="1" selected="0">
            <x v="0"/>
          </reference>
          <reference field="14" count="1" selected="0">
            <x v="4"/>
          </reference>
        </references>
      </pivotArea>
    </chartFormat>
    <chartFormat chart="45" format="22">
      <pivotArea type="data" outline="0" fieldPosition="0">
        <references count="2">
          <reference field="4294967294" count="1" selected="0">
            <x v="0"/>
          </reference>
          <reference field="1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87A47F8-E3BC-4C2A-9329-E05C3D4B1A19}" name="PivotTable10"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3">
  <location ref="A105:B112" firstHeaderRow="1" firstDataRow="1" firstDataCol="1"/>
  <pivotFields count="15">
    <pivotField showAll="0">
      <items count="1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4"/>
        <item x="175"/>
        <item x="176"/>
        <item x="177"/>
        <item x="178"/>
        <item x="173"/>
        <item x="179"/>
        <item x="180"/>
        <item x="181"/>
        <item x="182"/>
        <item x="183"/>
        <item x="184"/>
        <item x="185"/>
        <item x="186"/>
        <item t="default"/>
      </items>
    </pivotField>
    <pivotField numFmtId="1" showAll="0">
      <items count="185">
        <item x="180"/>
        <item x="75"/>
        <item x="68"/>
        <item x="139"/>
        <item x="49"/>
        <item x="94"/>
        <item x="69"/>
        <item x="140"/>
        <item x="59"/>
        <item x="17"/>
        <item x="141"/>
        <item x="129"/>
        <item x="5"/>
        <item x="19"/>
        <item x="14"/>
        <item x="147"/>
        <item x="112"/>
        <item x="24"/>
        <item x="168"/>
        <item x="30"/>
        <item x="55"/>
        <item x="113"/>
        <item x="63"/>
        <item x="109"/>
        <item x="27"/>
        <item x="38"/>
        <item x="28"/>
        <item x="11"/>
        <item x="73"/>
        <item x="179"/>
        <item x="163"/>
        <item x="97"/>
        <item x="165"/>
        <item x="162"/>
        <item x="142"/>
        <item x="107"/>
        <item x="22"/>
        <item x="86"/>
        <item x="143"/>
        <item x="167"/>
        <item x="3"/>
        <item x="34"/>
        <item x="4"/>
        <item x="45"/>
        <item x="26"/>
        <item x="172"/>
        <item x="122"/>
        <item x="64"/>
        <item x="98"/>
        <item x="88"/>
        <item x="176"/>
        <item x="95"/>
        <item x="169"/>
        <item x="159"/>
        <item x="120"/>
        <item x="181"/>
        <item x="116"/>
        <item x="18"/>
        <item x="148"/>
        <item x="117"/>
        <item x="78"/>
        <item x="138"/>
        <item x="72"/>
        <item x="100"/>
        <item x="56"/>
        <item x="151"/>
        <item x="150"/>
        <item x="155"/>
        <item x="57"/>
        <item x="29"/>
        <item x="106"/>
        <item x="44"/>
        <item x="183"/>
        <item x="157"/>
        <item x="99"/>
        <item x="114"/>
        <item x="54"/>
        <item x="152"/>
        <item x="39"/>
        <item x="166"/>
        <item x="105"/>
        <item x="121"/>
        <item x="103"/>
        <item x="96"/>
        <item x="67"/>
        <item x="77"/>
        <item x="130"/>
        <item x="182"/>
        <item x="33"/>
        <item x="1"/>
        <item x="43"/>
        <item x="48"/>
        <item x="108"/>
        <item x="101"/>
        <item x="71"/>
        <item x="62"/>
        <item x="164"/>
        <item x="74"/>
        <item x="60"/>
        <item x="91"/>
        <item x="40"/>
        <item x="104"/>
        <item x="125"/>
        <item x="102"/>
        <item x="145"/>
        <item x="124"/>
        <item x="21"/>
        <item x="25"/>
        <item x="158"/>
        <item x="47"/>
        <item x="154"/>
        <item x="58"/>
        <item x="53"/>
        <item x="8"/>
        <item x="46"/>
        <item x="42"/>
        <item x="41"/>
        <item x="178"/>
        <item x="31"/>
        <item x="90"/>
        <item x="118"/>
        <item x="9"/>
        <item x="115"/>
        <item x="177"/>
        <item x="111"/>
        <item x="146"/>
        <item x="83"/>
        <item x="2"/>
        <item x="10"/>
        <item x="87"/>
        <item x="93"/>
        <item x="66"/>
        <item x="161"/>
        <item x="0"/>
        <item x="7"/>
        <item x="12"/>
        <item x="76"/>
        <item x="123"/>
        <item x="133"/>
        <item x="70"/>
        <item x="136"/>
        <item x="134"/>
        <item x="149"/>
        <item x="119"/>
        <item x="174"/>
        <item x="128"/>
        <item x="84"/>
        <item x="50"/>
        <item x="92"/>
        <item x="16"/>
        <item x="173"/>
        <item x="15"/>
        <item x="20"/>
        <item x="126"/>
        <item x="160"/>
        <item x="51"/>
        <item x="132"/>
        <item x="89"/>
        <item x="36"/>
        <item x="52"/>
        <item x="80"/>
        <item x="135"/>
        <item x="82"/>
        <item x="32"/>
        <item x="6"/>
        <item x="65"/>
        <item x="61"/>
        <item x="13"/>
        <item x="170"/>
        <item x="85"/>
        <item x="37"/>
        <item x="144"/>
        <item x="156"/>
        <item x="127"/>
        <item x="81"/>
        <item x="175"/>
        <item x="35"/>
        <item x="131"/>
        <item x="110"/>
        <item x="153"/>
        <item x="137"/>
        <item x="79"/>
        <item x="23"/>
        <item x="171"/>
        <item t="default"/>
      </items>
    </pivotField>
    <pivotField numFmtId="1" showAll="0">
      <items count="151">
        <item x="19"/>
        <item x="26"/>
        <item x="17"/>
        <item x="5"/>
        <item x="96"/>
        <item x="115"/>
        <item x="25"/>
        <item x="14"/>
        <item x="56"/>
        <item x="92"/>
        <item x="68"/>
        <item x="11"/>
        <item x="83"/>
        <item x="117"/>
        <item x="91"/>
        <item x="57"/>
        <item x="137"/>
        <item x="41"/>
        <item x="64"/>
        <item x="136"/>
        <item x="27"/>
        <item x="131"/>
        <item x="63"/>
        <item x="122"/>
        <item x="123"/>
        <item x="82"/>
        <item x="51"/>
        <item x="18"/>
        <item x="149"/>
        <item x="134"/>
        <item x="4"/>
        <item x="116"/>
        <item x="107"/>
        <item x="62"/>
        <item x="128"/>
        <item x="98"/>
        <item x="55"/>
        <item x="138"/>
        <item x="49"/>
        <item x="3"/>
        <item x="24"/>
        <item x="35"/>
        <item x="44"/>
        <item x="30"/>
        <item x="135"/>
        <item x="85"/>
        <item x="121"/>
        <item x="50"/>
        <item x="84"/>
        <item x="31"/>
        <item x="146"/>
        <item x="86"/>
        <item x="40"/>
        <item x="88"/>
        <item x="125"/>
        <item x="38"/>
        <item x="89"/>
        <item x="100"/>
        <item x="87"/>
        <item x="37"/>
        <item x="124"/>
        <item x="144"/>
        <item x="90"/>
        <item x="39"/>
        <item x="148"/>
        <item x="12"/>
        <item x="1"/>
        <item x="145"/>
        <item x="93"/>
        <item x="65"/>
        <item x="112"/>
        <item x="8"/>
        <item x="59"/>
        <item x="79"/>
        <item x="119"/>
        <item x="60"/>
        <item x="36"/>
        <item x="52"/>
        <item x="103"/>
        <item x="78"/>
        <item x="21"/>
        <item x="127"/>
        <item x="97"/>
        <item x="53"/>
        <item x="142"/>
        <item x="23"/>
        <item x="42"/>
        <item x="28"/>
        <item x="104"/>
        <item x="48"/>
        <item x="10"/>
        <item x="80"/>
        <item x="102"/>
        <item x="74"/>
        <item x="147"/>
        <item x="15"/>
        <item x="120"/>
        <item x="77"/>
        <item x="67"/>
        <item x="43"/>
        <item x="7"/>
        <item x="9"/>
        <item x="130"/>
        <item x="95"/>
        <item x="101"/>
        <item x="76"/>
        <item x="45"/>
        <item x="2"/>
        <item x="66"/>
        <item x="0"/>
        <item x="81"/>
        <item x="106"/>
        <item x="141"/>
        <item x="110"/>
        <item x="111"/>
        <item x="61"/>
        <item x="73"/>
        <item x="109"/>
        <item x="133"/>
        <item x="113"/>
        <item x="20"/>
        <item x="118"/>
        <item x="13"/>
        <item x="6"/>
        <item x="72"/>
        <item x="47"/>
        <item x="33"/>
        <item x="70"/>
        <item x="46"/>
        <item x="139"/>
        <item x="132"/>
        <item x="105"/>
        <item x="99"/>
        <item x="126"/>
        <item x="34"/>
        <item x="29"/>
        <item x="58"/>
        <item x="32"/>
        <item x="16"/>
        <item x="114"/>
        <item x="71"/>
        <item x="108"/>
        <item x="129"/>
        <item x="54"/>
        <item x="69"/>
        <item x="75"/>
        <item x="94"/>
        <item x="143"/>
        <item x="22"/>
        <item x="140"/>
        <item t="default"/>
      </items>
    </pivotField>
    <pivotField numFmtId="1" showAll="0">
      <items count="179">
        <item x="32"/>
        <item x="174"/>
        <item x="127"/>
        <item x="73"/>
        <item x="67"/>
        <item x="137"/>
        <item x="49"/>
        <item x="92"/>
        <item x="138"/>
        <item x="68"/>
        <item x="17"/>
        <item x="139"/>
        <item x="22"/>
        <item x="5"/>
        <item x="62"/>
        <item x="98"/>
        <item x="19"/>
        <item x="11"/>
        <item x="14"/>
        <item x="115"/>
        <item x="111"/>
        <item x="95"/>
        <item x="24"/>
        <item x="30"/>
        <item x="71"/>
        <item x="159"/>
        <item x="117"/>
        <item x="55"/>
        <item x="112"/>
        <item x="4"/>
        <item x="27"/>
        <item x="28"/>
        <item x="38"/>
        <item x="108"/>
        <item x="172"/>
        <item x="157"/>
        <item x="177"/>
        <item x="97"/>
        <item x="161"/>
        <item x="96"/>
        <item x="140"/>
        <item x="106"/>
        <item x="84"/>
        <item x="141"/>
        <item x="3"/>
        <item x="113"/>
        <item x="34"/>
        <item x="39"/>
        <item x="175"/>
        <item x="54"/>
        <item x="45"/>
        <item x="63"/>
        <item x="155"/>
        <item x="26"/>
        <item x="169"/>
        <item x="136"/>
        <item x="165"/>
        <item x="57"/>
        <item x="120"/>
        <item x="18"/>
        <item x="86"/>
        <item x="93"/>
        <item x="162"/>
        <item x="151"/>
        <item x="144"/>
        <item x="66"/>
        <item x="168"/>
        <item x="118"/>
        <item x="148"/>
        <item x="33"/>
        <item x="29"/>
        <item x="146"/>
        <item x="99"/>
        <item x="102"/>
        <item x="94"/>
        <item x="147"/>
        <item x="76"/>
        <item x="105"/>
        <item x="56"/>
        <item x="153"/>
        <item x="44"/>
        <item x="119"/>
        <item x="104"/>
        <item x="1"/>
        <item x="176"/>
        <item x="128"/>
        <item x="160"/>
        <item x="75"/>
        <item x="173"/>
        <item x="41"/>
        <item x="43"/>
        <item x="89"/>
        <item x="72"/>
        <item x="107"/>
        <item x="61"/>
        <item x="100"/>
        <item x="21"/>
        <item x="48"/>
        <item x="74"/>
        <item x="122"/>
        <item x="25"/>
        <item x="40"/>
        <item x="154"/>
        <item x="158"/>
        <item x="70"/>
        <item x="101"/>
        <item x="58"/>
        <item x="143"/>
        <item x="59"/>
        <item x="53"/>
        <item x="88"/>
        <item x="103"/>
        <item x="123"/>
        <item x="8"/>
        <item x="171"/>
        <item x="42"/>
        <item x="46"/>
        <item x="170"/>
        <item x="47"/>
        <item x="150"/>
        <item x="116"/>
        <item x="31"/>
        <item x="110"/>
        <item x="114"/>
        <item x="16"/>
        <item x="121"/>
        <item x="9"/>
        <item x="2"/>
        <item x="91"/>
        <item x="20"/>
        <item x="85"/>
        <item x="10"/>
        <item x="81"/>
        <item x="0"/>
        <item x="134"/>
        <item x="130"/>
        <item x="7"/>
        <item x="82"/>
        <item x="65"/>
        <item x="50"/>
        <item x="156"/>
        <item x="69"/>
        <item x="131"/>
        <item x="52"/>
        <item x="51"/>
        <item x="126"/>
        <item x="132"/>
        <item x="12"/>
        <item x="166"/>
        <item x="145"/>
        <item x="167"/>
        <item x="87"/>
        <item x="90"/>
        <item x="124"/>
        <item x="78"/>
        <item x="15"/>
        <item x="6"/>
        <item x="80"/>
        <item x="36"/>
        <item x="60"/>
        <item x="133"/>
        <item x="13"/>
        <item x="37"/>
        <item x="152"/>
        <item x="64"/>
        <item x="83"/>
        <item x="163"/>
        <item x="142"/>
        <item x="125"/>
        <item x="79"/>
        <item x="129"/>
        <item x="149"/>
        <item x="109"/>
        <item x="35"/>
        <item x="135"/>
        <item x="77"/>
        <item x="164"/>
        <item x="23"/>
        <item t="default"/>
      </items>
    </pivotField>
    <pivotField numFmtId="1" showAll="0">
      <items count="174">
        <item x="24"/>
        <item x="65"/>
        <item x="104"/>
        <item x="94"/>
        <item x="107"/>
        <item x="14"/>
        <item x="157"/>
        <item x="19"/>
        <item x="152"/>
        <item x="5"/>
        <item x="37"/>
        <item x="17"/>
        <item x="73"/>
        <item x="47"/>
        <item x="102"/>
        <item x="116"/>
        <item x="33"/>
        <item x="54"/>
        <item x="123"/>
        <item x="3"/>
        <item x="168"/>
        <item x="108"/>
        <item x="53"/>
        <item x="137"/>
        <item x="27"/>
        <item x="29"/>
        <item x="43"/>
        <item x="133"/>
        <item x="26"/>
        <item x="83"/>
        <item x="119"/>
        <item x="155"/>
        <item x="81"/>
        <item x="161"/>
        <item x="89"/>
        <item x="57"/>
        <item x="99"/>
        <item x="69"/>
        <item x="44"/>
        <item x="61"/>
        <item x="165"/>
        <item x="141"/>
        <item x="158"/>
        <item x="156"/>
        <item x="60"/>
        <item x="11"/>
        <item x="154"/>
        <item x="95"/>
        <item x="91"/>
        <item x="170"/>
        <item x="138"/>
        <item x="92"/>
        <item x="101"/>
        <item x="72"/>
        <item x="149"/>
        <item x="140"/>
        <item x="46"/>
        <item x="151"/>
        <item x="4"/>
        <item x="147"/>
        <item x="22"/>
        <item x="18"/>
        <item x="67"/>
        <item x="28"/>
        <item x="78"/>
        <item x="42"/>
        <item x="100"/>
        <item x="115"/>
        <item x="144"/>
        <item x="132"/>
        <item x="145"/>
        <item x="68"/>
        <item x="153"/>
        <item x="55"/>
        <item x="96"/>
        <item x="103"/>
        <item x="142"/>
        <item x="171"/>
        <item x="9"/>
        <item x="124"/>
        <item x="111"/>
        <item x="112"/>
        <item x="98"/>
        <item x="1"/>
        <item x="109"/>
        <item x="90"/>
        <item x="172"/>
        <item x="52"/>
        <item x="30"/>
        <item x="93"/>
        <item x="38"/>
        <item x="59"/>
        <item x="64"/>
        <item x="70"/>
        <item x="39"/>
        <item x="32"/>
        <item x="135"/>
        <item x="129"/>
        <item x="86"/>
        <item x="12"/>
        <item x="35"/>
        <item x="97"/>
        <item x="63"/>
        <item x="45"/>
        <item x="110"/>
        <item x="118"/>
        <item x="25"/>
        <item x="148"/>
        <item x="113"/>
        <item x="139"/>
        <item x="41"/>
        <item x="21"/>
        <item x="8"/>
        <item x="167"/>
        <item x="15"/>
        <item x="106"/>
        <item x="163"/>
        <item x="10"/>
        <item x="169"/>
        <item x="51"/>
        <item x="62"/>
        <item x="56"/>
        <item x="2"/>
        <item x="82"/>
        <item x="127"/>
        <item x="87"/>
        <item x="166"/>
        <item x="0"/>
        <item x="85"/>
        <item x="7"/>
        <item x="88"/>
        <item x="159"/>
        <item x="66"/>
        <item x="40"/>
        <item x="80"/>
        <item x="128"/>
        <item x="130"/>
        <item x="34"/>
        <item x="120"/>
        <item x="117"/>
        <item x="76"/>
        <item x="136"/>
        <item x="122"/>
        <item x="121"/>
        <item x="162"/>
        <item x="84"/>
        <item x="77"/>
        <item x="48"/>
        <item x="71"/>
        <item x="79"/>
        <item x="75"/>
        <item x="16"/>
        <item x="49"/>
        <item x="134"/>
        <item x="20"/>
        <item x="114"/>
        <item x="105"/>
        <item x="50"/>
        <item x="126"/>
        <item x="150"/>
        <item x="6"/>
        <item x="146"/>
        <item x="13"/>
        <item x="125"/>
        <item x="31"/>
        <item x="58"/>
        <item x="36"/>
        <item x="143"/>
        <item x="131"/>
        <item x="164"/>
        <item x="74"/>
        <item x="23"/>
        <item x="160"/>
        <item t="default"/>
      </items>
    </pivotField>
    <pivotField numFmtId="1" showAll="0">
      <items count="123">
        <item x="14"/>
        <item x="25"/>
        <item x="45"/>
        <item x="37"/>
        <item x="5"/>
        <item x="47"/>
        <item x="51"/>
        <item x="27"/>
        <item x="68"/>
        <item x="40"/>
        <item x="3"/>
        <item x="64"/>
        <item x="32"/>
        <item x="22"/>
        <item x="88"/>
        <item x="23"/>
        <item x="4"/>
        <item x="57"/>
        <item x="24"/>
        <item x="108"/>
        <item x="35"/>
        <item x="58"/>
        <item x="106"/>
        <item x="82"/>
        <item x="54"/>
        <item x="36"/>
        <item x="109"/>
        <item x="11"/>
        <item x="107"/>
        <item x="110"/>
        <item x="56"/>
        <item x="50"/>
        <item x="19"/>
        <item x="100"/>
        <item x="34"/>
        <item x="112"/>
        <item x="77"/>
        <item x="83"/>
        <item x="121"/>
        <item x="7"/>
        <item x="102"/>
        <item x="9"/>
        <item x="80"/>
        <item x="92"/>
        <item x="0"/>
        <item x="39"/>
        <item x="1"/>
        <item x="15"/>
        <item x="79"/>
        <item x="87"/>
        <item x="74"/>
        <item x="96"/>
        <item x="84"/>
        <item x="120"/>
        <item x="75"/>
        <item x="31"/>
        <item x="66"/>
        <item x="38"/>
        <item x="21"/>
        <item x="49"/>
        <item x="29"/>
        <item x="55"/>
        <item x="116"/>
        <item x="97"/>
        <item x="95"/>
        <item x="12"/>
        <item x="8"/>
        <item x="70"/>
        <item x="76"/>
        <item x="10"/>
        <item x="111"/>
        <item x="16"/>
        <item x="44"/>
        <item x="103"/>
        <item x="85"/>
        <item x="43"/>
        <item x="52"/>
        <item x="59"/>
        <item x="42"/>
        <item x="104"/>
        <item x="73"/>
        <item x="71"/>
        <item x="119"/>
        <item x="46"/>
        <item x="67"/>
        <item x="72"/>
        <item x="81"/>
        <item x="33"/>
        <item x="2"/>
        <item x="86"/>
        <item x="53"/>
        <item x="118"/>
        <item x="26"/>
        <item x="117"/>
        <item x="18"/>
        <item x="115"/>
        <item x="113"/>
        <item x="89"/>
        <item x="98"/>
        <item x="91"/>
        <item x="90"/>
        <item x="41"/>
        <item x="61"/>
        <item x="69"/>
        <item x="94"/>
        <item x="17"/>
        <item x="101"/>
        <item x="65"/>
        <item x="28"/>
        <item x="62"/>
        <item x="48"/>
        <item x="63"/>
        <item x="13"/>
        <item x="6"/>
        <item x="78"/>
        <item x="99"/>
        <item x="105"/>
        <item x="93"/>
        <item x="30"/>
        <item x="20"/>
        <item x="60"/>
        <item x="114"/>
        <item t="default"/>
      </items>
    </pivotField>
    <pivotField numFmtId="1" showAll="0">
      <items count="39">
        <item x="3"/>
        <item x="4"/>
        <item x="16"/>
        <item x="15"/>
        <item x="7"/>
        <item x="20"/>
        <item x="1"/>
        <item x="11"/>
        <item x="2"/>
        <item x="31"/>
        <item x="0"/>
        <item x="12"/>
        <item x="30"/>
        <item x="9"/>
        <item x="27"/>
        <item x="18"/>
        <item x="34"/>
        <item x="17"/>
        <item x="28"/>
        <item x="21"/>
        <item x="32"/>
        <item x="6"/>
        <item x="19"/>
        <item x="22"/>
        <item x="24"/>
        <item x="8"/>
        <item x="13"/>
        <item x="35"/>
        <item x="26"/>
        <item x="5"/>
        <item x="25"/>
        <item x="36"/>
        <item x="29"/>
        <item x="14"/>
        <item x="33"/>
        <item x="10"/>
        <item x="23"/>
        <item x="37"/>
        <item t="default"/>
      </items>
    </pivotField>
    <pivotField numFmtId="1" showAll="0">
      <items count="104">
        <item x="3"/>
        <item x="14"/>
        <item x="21"/>
        <item x="98"/>
        <item x="24"/>
        <item x="4"/>
        <item x="20"/>
        <item x="26"/>
        <item x="93"/>
        <item x="17"/>
        <item x="13"/>
        <item x="88"/>
        <item x="58"/>
        <item x="0"/>
        <item x="62"/>
        <item x="22"/>
        <item x="59"/>
        <item x="67"/>
        <item x="90"/>
        <item x="101"/>
        <item x="8"/>
        <item x="81"/>
        <item x="37"/>
        <item x="89"/>
        <item x="85"/>
        <item x="80"/>
        <item x="92"/>
        <item x="1"/>
        <item x="12"/>
        <item x="83"/>
        <item x="32"/>
        <item x="28"/>
        <item x="33"/>
        <item x="30"/>
        <item x="54"/>
        <item x="87"/>
        <item x="23"/>
        <item x="44"/>
        <item x="50"/>
        <item x="73"/>
        <item x="66"/>
        <item x="45"/>
        <item x="36"/>
        <item x="7"/>
        <item x="51"/>
        <item x="78"/>
        <item x="76"/>
        <item x="38"/>
        <item x="84"/>
        <item x="60"/>
        <item x="31"/>
        <item x="6"/>
        <item x="29"/>
        <item x="91"/>
        <item x="100"/>
        <item x="40"/>
        <item x="63"/>
        <item x="19"/>
        <item x="65"/>
        <item x="41"/>
        <item x="39"/>
        <item x="55"/>
        <item x="77"/>
        <item x="42"/>
        <item x="15"/>
        <item x="96"/>
        <item x="97"/>
        <item x="75"/>
        <item x="52"/>
        <item x="16"/>
        <item x="10"/>
        <item x="102"/>
        <item x="9"/>
        <item x="99"/>
        <item x="68"/>
        <item x="61"/>
        <item x="56"/>
        <item x="2"/>
        <item x="57"/>
        <item x="69"/>
        <item x="43"/>
        <item x="72"/>
        <item x="94"/>
        <item x="35"/>
        <item x="47"/>
        <item x="34"/>
        <item x="70"/>
        <item x="11"/>
        <item x="53"/>
        <item x="25"/>
        <item x="49"/>
        <item x="48"/>
        <item x="5"/>
        <item x="82"/>
        <item x="79"/>
        <item x="71"/>
        <item x="74"/>
        <item x="64"/>
        <item x="86"/>
        <item x="27"/>
        <item x="95"/>
        <item x="46"/>
        <item x="18"/>
        <item t="default"/>
      </items>
    </pivotField>
    <pivotField numFmtId="2" showAll="0">
      <items count="146">
        <item x="19"/>
        <item x="119"/>
        <item x="110"/>
        <item x="136"/>
        <item x="28"/>
        <item x="22"/>
        <item x="12"/>
        <item x="124"/>
        <item x="98"/>
        <item x="88"/>
        <item x="59"/>
        <item x="105"/>
        <item x="68"/>
        <item x="140"/>
        <item x="138"/>
        <item x="40"/>
        <item x="62"/>
        <item x="97"/>
        <item x="55"/>
        <item x="78"/>
        <item x="39"/>
        <item x="73"/>
        <item x="15"/>
        <item x="130"/>
        <item x="141"/>
        <item x="77"/>
        <item x="29"/>
        <item x="115"/>
        <item x="8"/>
        <item x="46"/>
        <item x="85"/>
        <item x="75"/>
        <item x="32"/>
        <item x="13"/>
        <item x="63"/>
        <item x="10"/>
        <item x="57"/>
        <item x="52"/>
        <item x="96"/>
        <item x="129"/>
        <item x="95"/>
        <item x="53"/>
        <item x="79"/>
        <item x="114"/>
        <item x="112"/>
        <item x="50"/>
        <item x="37"/>
        <item x="27"/>
        <item x="132"/>
        <item x="86"/>
        <item x="43"/>
        <item x="6"/>
        <item x="7"/>
        <item x="18"/>
        <item x="116"/>
        <item x="122"/>
        <item x="133"/>
        <item x="102"/>
        <item x="121"/>
        <item x="24"/>
        <item x="65"/>
        <item x="117"/>
        <item x="69"/>
        <item x="30"/>
        <item x="38"/>
        <item x="107"/>
        <item x="83"/>
        <item x="44"/>
        <item x="137"/>
        <item x="56"/>
        <item x="135"/>
        <item x="80"/>
        <item x="90"/>
        <item x="82"/>
        <item x="34"/>
        <item x="87"/>
        <item x="49"/>
        <item x="104"/>
        <item x="21"/>
        <item x="41"/>
        <item x="11"/>
        <item x="91"/>
        <item x="66"/>
        <item x="1"/>
        <item x="144"/>
        <item x="100"/>
        <item x="76"/>
        <item x="93"/>
        <item x="25"/>
        <item x="51"/>
        <item x="36"/>
        <item x="109"/>
        <item x="42"/>
        <item x="94"/>
        <item x="9"/>
        <item x="5"/>
        <item x="0"/>
        <item x="23"/>
        <item x="118"/>
        <item x="20"/>
        <item x="108"/>
        <item x="61"/>
        <item x="81"/>
        <item x="71"/>
        <item x="131"/>
        <item x="2"/>
        <item x="17"/>
        <item x="4"/>
        <item x="58"/>
        <item x="45"/>
        <item x="103"/>
        <item x="106"/>
        <item x="60"/>
        <item x="111"/>
        <item x="26"/>
        <item x="89"/>
        <item x="48"/>
        <item x="64"/>
        <item x="35"/>
        <item x="134"/>
        <item x="70"/>
        <item x="120"/>
        <item x="3"/>
        <item x="127"/>
        <item x="128"/>
        <item x="113"/>
        <item x="101"/>
        <item x="84"/>
        <item x="125"/>
        <item x="14"/>
        <item x="72"/>
        <item x="47"/>
        <item x="126"/>
        <item x="31"/>
        <item x="33"/>
        <item x="142"/>
        <item x="123"/>
        <item x="92"/>
        <item x="99"/>
        <item x="67"/>
        <item x="54"/>
        <item x="74"/>
        <item x="16"/>
        <item x="139"/>
        <item x="143"/>
        <item t="default"/>
      </items>
    </pivotField>
    <pivotField dataField="1" numFmtId="2" showAll="0">
      <items count="178">
        <item x="32"/>
        <item x="115"/>
        <item x="167"/>
        <item x="113"/>
        <item x="22"/>
        <item x="74"/>
        <item x="125"/>
        <item x="176"/>
        <item x="63"/>
        <item x="96"/>
        <item x="11"/>
        <item x="41"/>
        <item x="94"/>
        <item x="4"/>
        <item x="39"/>
        <item x="16"/>
        <item x="54"/>
        <item x="111"/>
        <item x="20"/>
        <item x="163"/>
        <item x="128"/>
        <item x="67"/>
        <item x="33"/>
        <item x="142"/>
        <item x="172"/>
        <item x="157"/>
        <item x="61"/>
        <item x="52"/>
        <item x="71"/>
        <item x="82"/>
        <item x="51"/>
        <item x="6"/>
        <item x="87"/>
        <item x="58"/>
        <item x="93"/>
        <item x="119"/>
        <item x="57"/>
        <item x="101"/>
        <item x="72"/>
        <item x="21"/>
        <item x="50"/>
        <item x="147"/>
        <item x="174"/>
        <item x="150"/>
        <item x="37"/>
        <item x="53"/>
        <item x="134"/>
        <item x="152"/>
        <item x="25"/>
        <item x="17"/>
        <item x="88"/>
        <item x="120"/>
        <item x="169"/>
        <item x="151"/>
        <item x="95"/>
        <item x="165"/>
        <item x="13"/>
        <item x="132"/>
        <item x="1"/>
        <item x="124"/>
        <item x="78"/>
        <item x="18"/>
        <item x="73"/>
        <item x="148"/>
        <item x="8"/>
        <item x="175"/>
        <item x="170"/>
        <item x="153"/>
        <item x="90"/>
        <item x="126"/>
        <item x="77"/>
        <item x="86"/>
        <item x="40"/>
        <item x="100"/>
        <item x="30"/>
        <item x="62"/>
        <item x="42"/>
        <item x="141"/>
        <item x="29"/>
        <item x="59"/>
        <item x="2"/>
        <item x="80"/>
        <item x="159"/>
        <item x="0"/>
        <item x="109"/>
        <item x="127"/>
        <item x="130"/>
        <item x="84"/>
        <item x="7"/>
        <item x="69"/>
        <item x="55"/>
        <item x="117"/>
        <item x="114"/>
        <item x="46"/>
        <item x="133"/>
        <item x="143"/>
        <item x="122"/>
        <item x="145"/>
        <item x="75"/>
        <item x="106"/>
        <item x="137"/>
        <item x="5"/>
        <item x="103"/>
        <item x="23"/>
        <item x="129"/>
        <item x="104"/>
        <item x="99"/>
        <item x="10"/>
        <item x="108"/>
        <item x="168"/>
        <item x="112"/>
        <item x="161"/>
        <item x="28"/>
        <item x="173"/>
        <item x="98"/>
        <item x="45"/>
        <item x="43"/>
        <item x="64"/>
        <item x="140"/>
        <item x="146"/>
        <item x="156"/>
        <item x="27"/>
        <item x="83"/>
        <item x="26"/>
        <item x="171"/>
        <item x="139"/>
        <item x="31"/>
        <item x="14"/>
        <item x="89"/>
        <item x="92"/>
        <item x="160"/>
        <item x="19"/>
        <item x="79"/>
        <item x="164"/>
        <item x="34"/>
        <item x="123"/>
        <item x="135"/>
        <item x="85"/>
        <item x="3"/>
        <item x="66"/>
        <item x="70"/>
        <item x="166"/>
        <item x="9"/>
        <item x="154"/>
        <item x="110"/>
        <item x="144"/>
        <item x="15"/>
        <item x="81"/>
        <item x="118"/>
        <item x="36"/>
        <item x="12"/>
        <item x="149"/>
        <item x="47"/>
        <item x="136"/>
        <item x="65"/>
        <item x="35"/>
        <item x="38"/>
        <item x="162"/>
        <item x="44"/>
        <item x="68"/>
        <item x="60"/>
        <item x="138"/>
        <item x="97"/>
        <item x="158"/>
        <item x="56"/>
        <item x="105"/>
        <item x="91"/>
        <item x="155"/>
        <item x="121"/>
        <item x="107"/>
        <item x="102"/>
        <item x="131"/>
        <item x="116"/>
        <item x="24"/>
        <item x="76"/>
        <item x="48"/>
        <item x="49"/>
        <item t="default"/>
      </items>
    </pivotField>
    <pivotField showAll="0">
      <items count="156">
        <item x="19"/>
        <item x="127"/>
        <item x="119"/>
        <item x="143"/>
        <item x="28"/>
        <item x="105"/>
        <item x="12"/>
        <item x="122"/>
        <item x="133"/>
        <item x="69"/>
        <item x="60"/>
        <item x="96"/>
        <item x="145"/>
        <item x="112"/>
        <item x="63"/>
        <item x="83"/>
        <item x="15"/>
        <item x="41"/>
        <item x="137"/>
        <item x="148"/>
        <item x="56"/>
        <item x="79"/>
        <item x="80"/>
        <item x="47"/>
        <item x="90"/>
        <item x="124"/>
        <item x="97"/>
        <item x="77"/>
        <item x="29"/>
        <item x="95"/>
        <item x="93"/>
        <item x="149"/>
        <item x="115"/>
        <item x="136"/>
        <item x="128"/>
        <item x="58"/>
        <item x="75"/>
        <item x="8"/>
        <item x="10"/>
        <item x="139"/>
        <item x="103"/>
        <item x="27"/>
        <item x="150"/>
        <item x="37"/>
        <item x="24"/>
        <item x="121"/>
        <item x="44"/>
        <item x="131"/>
        <item x="92"/>
        <item x="13"/>
        <item x="113"/>
        <item x="130"/>
        <item x="134"/>
        <item x="7"/>
        <item x="30"/>
        <item x="34"/>
        <item x="111"/>
        <item x="85"/>
        <item x="86"/>
        <item x="125"/>
        <item x="40"/>
        <item x="22"/>
        <item x="64"/>
        <item x="45"/>
        <item x="52"/>
        <item x="98"/>
        <item x="18"/>
        <item x="70"/>
        <item x="42"/>
        <item x="53"/>
        <item x="48"/>
        <item x="66"/>
        <item x="81"/>
        <item x="39"/>
        <item x="147"/>
        <item x="43"/>
        <item x="114"/>
        <item x="32"/>
        <item x="101"/>
        <item x="9"/>
        <item x="6"/>
        <item x="141"/>
        <item x="107"/>
        <item x="144"/>
        <item x="78"/>
        <item x="82"/>
        <item x="5"/>
        <item x="100"/>
        <item x="109"/>
        <item x="23"/>
        <item x="54"/>
        <item x="59"/>
        <item x="46"/>
        <item x="91"/>
        <item x="153"/>
        <item x="126"/>
        <item x="0"/>
        <item x="118"/>
        <item x="1"/>
        <item x="62"/>
        <item x="102"/>
        <item x="26"/>
        <item x="73"/>
        <item x="35"/>
        <item x="21"/>
        <item x="94"/>
        <item x="129"/>
        <item x="51"/>
        <item x="84"/>
        <item x="2"/>
        <item x="25"/>
        <item x="72"/>
        <item x="140"/>
        <item x="123"/>
        <item x="135"/>
        <item x="3"/>
        <item x="38"/>
        <item x="154"/>
        <item x="36"/>
        <item x="108"/>
        <item x="116"/>
        <item x="117"/>
        <item x="14"/>
        <item x="74"/>
        <item x="17"/>
        <item x="104"/>
        <item x="71"/>
        <item x="110"/>
        <item x="120"/>
        <item x="33"/>
        <item x="87"/>
        <item x="65"/>
        <item x="89"/>
        <item x="88"/>
        <item x="142"/>
        <item x="138"/>
        <item x="11"/>
        <item x="57"/>
        <item x="20"/>
        <item x="151"/>
        <item x="50"/>
        <item x="99"/>
        <item x="61"/>
        <item x="49"/>
        <item x="4"/>
        <item x="76"/>
        <item x="68"/>
        <item x="132"/>
        <item x="67"/>
        <item x="55"/>
        <item x="16"/>
        <item x="152"/>
        <item x="146"/>
        <item x="106"/>
        <item x="31"/>
        <item t="default"/>
      </items>
    </pivotField>
    <pivotField numFmtId="1" showAll="0">
      <items count="184">
        <item x="179"/>
        <item x="75"/>
        <item x="68"/>
        <item x="139"/>
        <item x="49"/>
        <item x="94"/>
        <item x="69"/>
        <item x="164"/>
        <item x="59"/>
        <item x="17"/>
        <item x="140"/>
        <item x="5"/>
        <item x="100"/>
        <item x="19"/>
        <item x="14"/>
        <item x="146"/>
        <item x="113"/>
        <item x="63"/>
        <item x="166"/>
        <item x="24"/>
        <item x="30"/>
        <item x="11"/>
        <item x="55"/>
        <item x="114"/>
        <item x="28"/>
        <item x="38"/>
        <item x="73"/>
        <item x="27"/>
        <item x="110"/>
        <item x="97"/>
        <item x="177"/>
        <item x="160"/>
        <item x="162"/>
        <item x="22"/>
        <item x="108"/>
        <item x="141"/>
        <item x="142"/>
        <item x="4"/>
        <item x="165"/>
        <item x="86"/>
        <item x="3"/>
        <item x="34"/>
        <item x="45"/>
        <item x="64"/>
        <item x="174"/>
        <item x="26"/>
        <item x="170"/>
        <item x="157"/>
        <item x="123"/>
        <item x="98"/>
        <item x="95"/>
        <item x="88"/>
        <item x="118"/>
        <item x="167"/>
        <item x="117"/>
        <item x="121"/>
        <item x="18"/>
        <item x="180"/>
        <item x="138"/>
        <item x="147"/>
        <item x="182"/>
        <item x="57"/>
        <item x="78"/>
        <item x="101"/>
        <item x="72"/>
        <item x="149"/>
        <item x="99"/>
        <item x="56"/>
        <item x="29"/>
        <item x="115"/>
        <item x="153"/>
        <item x="44"/>
        <item x="107"/>
        <item x="155"/>
        <item x="39"/>
        <item x="96"/>
        <item x="104"/>
        <item x="106"/>
        <item x="54"/>
        <item x="150"/>
        <item x="122"/>
        <item x="163"/>
        <item x="181"/>
        <item x="130"/>
        <item x="67"/>
        <item x="1"/>
        <item x="77"/>
        <item x="43"/>
        <item x="33"/>
        <item x="48"/>
        <item x="102"/>
        <item x="91"/>
        <item x="109"/>
        <item x="62"/>
        <item x="71"/>
        <item x="161"/>
        <item x="74"/>
        <item x="103"/>
        <item x="60"/>
        <item x="40"/>
        <item x="21"/>
        <item x="105"/>
        <item x="178"/>
        <item x="25"/>
        <item x="144"/>
        <item x="126"/>
        <item x="125"/>
        <item x="58"/>
        <item x="156"/>
        <item x="41"/>
        <item x="53"/>
        <item x="176"/>
        <item x="8"/>
        <item x="47"/>
        <item x="90"/>
        <item x="152"/>
        <item x="46"/>
        <item x="42"/>
        <item x="31"/>
        <item x="175"/>
        <item x="116"/>
        <item x="119"/>
        <item x="9"/>
        <item x="112"/>
        <item x="145"/>
        <item x="2"/>
        <item x="87"/>
        <item x="83"/>
        <item x="93"/>
        <item x="10"/>
        <item x="66"/>
        <item x="159"/>
        <item x="76"/>
        <item x="7"/>
        <item x="0"/>
        <item x="12"/>
        <item x="124"/>
        <item x="136"/>
        <item x="70"/>
        <item x="133"/>
        <item x="148"/>
        <item x="134"/>
        <item x="84"/>
        <item x="120"/>
        <item x="50"/>
        <item x="129"/>
        <item x="172"/>
        <item x="92"/>
        <item x="171"/>
        <item x="20"/>
        <item x="16"/>
        <item x="15"/>
        <item x="127"/>
        <item x="132"/>
        <item x="89"/>
        <item x="51"/>
        <item x="158"/>
        <item x="36"/>
        <item x="80"/>
        <item x="52"/>
        <item x="82"/>
        <item x="135"/>
        <item x="32"/>
        <item x="6"/>
        <item x="65"/>
        <item x="37"/>
        <item x="13"/>
        <item x="61"/>
        <item x="168"/>
        <item x="85"/>
        <item x="143"/>
        <item x="154"/>
        <item x="128"/>
        <item x="81"/>
        <item x="173"/>
        <item x="35"/>
        <item x="111"/>
        <item x="131"/>
        <item x="151"/>
        <item x="137"/>
        <item x="79"/>
        <item x="23"/>
        <item x="169"/>
        <item t="default"/>
      </items>
    </pivotField>
    <pivotField numFmtId="1" showAll="0">
      <items count="163">
        <item x="82"/>
        <item x="24"/>
        <item x="64"/>
        <item x="105"/>
        <item x="14"/>
        <item x="67"/>
        <item x="132"/>
        <item x="104"/>
        <item x="17"/>
        <item x="19"/>
        <item x="5"/>
        <item x="146"/>
        <item x="53"/>
        <item x="52"/>
        <item x="72"/>
        <item x="37"/>
        <item x="44"/>
        <item x="3"/>
        <item x="100"/>
        <item x="88"/>
        <item x="33"/>
        <item x="26"/>
        <item x="99"/>
        <item x="47"/>
        <item x="118"/>
        <item x="80"/>
        <item x="148"/>
        <item x="32"/>
        <item x="68"/>
        <item x="29"/>
        <item x="27"/>
        <item x="56"/>
        <item x="153"/>
        <item x="91"/>
        <item x="135"/>
        <item x="93"/>
        <item x="150"/>
        <item x="140"/>
        <item x="43"/>
        <item x="149"/>
        <item x="138"/>
        <item x="60"/>
        <item x="97"/>
        <item x="71"/>
        <item x="128"/>
        <item x="77"/>
        <item x="134"/>
        <item x="156"/>
        <item x="90"/>
        <item x="145"/>
        <item x="18"/>
        <item x="108"/>
        <item x="4"/>
        <item x="11"/>
        <item x="59"/>
        <item x="63"/>
        <item x="22"/>
        <item x="127"/>
        <item x="28"/>
        <item x="101"/>
        <item x="69"/>
        <item x="112"/>
        <item x="46"/>
        <item x="147"/>
        <item x="38"/>
        <item x="98"/>
        <item x="137"/>
        <item x="39"/>
        <item x="142"/>
        <item x="141"/>
        <item x="66"/>
        <item x="54"/>
        <item x="109"/>
        <item x="42"/>
        <item x="96"/>
        <item x="94"/>
        <item x="106"/>
        <item x="1"/>
        <item x="0"/>
        <item x="58"/>
        <item x="119"/>
        <item x="9"/>
        <item x="130"/>
        <item x="144"/>
        <item x="92"/>
        <item x="110"/>
        <item x="30"/>
        <item x="114"/>
        <item x="89"/>
        <item x="161"/>
        <item x="15"/>
        <item x="35"/>
        <item x="160"/>
        <item x="111"/>
        <item x="41"/>
        <item x="143"/>
        <item x="45"/>
        <item x="123"/>
        <item x="85"/>
        <item x="79"/>
        <item x="25"/>
        <item x="159"/>
        <item x="154"/>
        <item x="21"/>
        <item x="103"/>
        <item x="16"/>
        <item x="7"/>
        <item x="95"/>
        <item x="12"/>
        <item x="10"/>
        <item x="124"/>
        <item x="133"/>
        <item x="51"/>
        <item x="8"/>
        <item x="131"/>
        <item x="122"/>
        <item x="107"/>
        <item x="31"/>
        <item x="158"/>
        <item x="61"/>
        <item x="113"/>
        <item x="157"/>
        <item x="50"/>
        <item x="84"/>
        <item x="2"/>
        <item x="40"/>
        <item x="55"/>
        <item x="86"/>
        <item x="155"/>
        <item x="70"/>
        <item x="62"/>
        <item x="81"/>
        <item x="87"/>
        <item x="65"/>
        <item x="57"/>
        <item x="151"/>
        <item x="49"/>
        <item x="117"/>
        <item x="139"/>
        <item x="125"/>
        <item x="116"/>
        <item x="115"/>
        <item x="20"/>
        <item x="48"/>
        <item x="83"/>
        <item x="78"/>
        <item x="74"/>
        <item x="121"/>
        <item x="34"/>
        <item x="129"/>
        <item x="75"/>
        <item x="76"/>
        <item x="13"/>
        <item x="120"/>
        <item x="6"/>
        <item x="126"/>
        <item x="102"/>
        <item x="36"/>
        <item x="136"/>
        <item x="23"/>
        <item x="73"/>
        <item x="152"/>
        <item t="default"/>
      </items>
    </pivotField>
    <pivotField numFmtId="2" showAll="0">
      <items count="170">
        <item x="82"/>
        <item x="23"/>
        <item x="114"/>
        <item x="67"/>
        <item x="103"/>
        <item x="77"/>
        <item x="53"/>
        <item x="79"/>
        <item x="107"/>
        <item x="47"/>
        <item x="56"/>
        <item x="72"/>
        <item x="119"/>
        <item x="32"/>
        <item x="98"/>
        <item x="35"/>
        <item x="154"/>
        <item x="100"/>
        <item x="14"/>
        <item x="161"/>
        <item x="151"/>
        <item x="61"/>
        <item x="0"/>
        <item x="143"/>
        <item x="44"/>
        <item x="89"/>
        <item x="46"/>
        <item x="128"/>
        <item x="116"/>
        <item x="113"/>
        <item x="71"/>
        <item x="3"/>
        <item x="26"/>
        <item x="148"/>
        <item x="145"/>
        <item x="147"/>
        <item x="157"/>
        <item x="57"/>
        <item x="121"/>
        <item x="31"/>
        <item x="25"/>
        <item x="160"/>
        <item x="43"/>
        <item x="101"/>
        <item x="15"/>
        <item x="94"/>
        <item x="33"/>
        <item x="13"/>
        <item x="149"/>
        <item x="133"/>
        <item x="69"/>
        <item x="9"/>
        <item x="139"/>
        <item x="146"/>
        <item x="132"/>
        <item x="166"/>
        <item x="34"/>
        <item x="153"/>
        <item x="50"/>
        <item x="39"/>
        <item x="102"/>
        <item x="112"/>
        <item x="130"/>
        <item x="88"/>
        <item x="63"/>
        <item x="92"/>
        <item x="80"/>
        <item x="159"/>
        <item x="138"/>
        <item x="52"/>
        <item x="140"/>
        <item x="30"/>
        <item x="37"/>
        <item x="135"/>
        <item x="75"/>
        <item x="106"/>
        <item x="142"/>
        <item x="7"/>
        <item x="66"/>
        <item x="127"/>
        <item x="64"/>
        <item x="86"/>
        <item x="156"/>
        <item x="49"/>
        <item x="125"/>
        <item x="12"/>
        <item x="136"/>
        <item x="10"/>
        <item x="115"/>
        <item x="41"/>
        <item x="60"/>
        <item x="105"/>
        <item x="18"/>
        <item x="45"/>
        <item x="141"/>
        <item x="118"/>
        <item x="17"/>
        <item x="117"/>
        <item x="155"/>
        <item x="42"/>
        <item x="58"/>
        <item x="158"/>
        <item x="95"/>
        <item x="38"/>
        <item x="99"/>
        <item x="28"/>
        <item x="120"/>
        <item x="110"/>
        <item x="122"/>
        <item x="162"/>
        <item x="5"/>
        <item x="104"/>
        <item x="137"/>
        <item x="74"/>
        <item x="70"/>
        <item x="83"/>
        <item x="22"/>
        <item x="131"/>
        <item x="68"/>
        <item x="134"/>
        <item x="65"/>
        <item x="19"/>
        <item x="1"/>
        <item x="27"/>
        <item x="2"/>
        <item x="62"/>
        <item x="76"/>
        <item x="48"/>
        <item x="109"/>
        <item x="24"/>
        <item x="126"/>
        <item x="165"/>
        <item x="16"/>
        <item x="129"/>
        <item x="144"/>
        <item x="81"/>
        <item x="124"/>
        <item x="97"/>
        <item x="87"/>
        <item x="78"/>
        <item x="8"/>
        <item x="51"/>
        <item x="163"/>
        <item x="20"/>
        <item x="36"/>
        <item x="85"/>
        <item x="54"/>
        <item x="4"/>
        <item x="6"/>
        <item x="73"/>
        <item x="152"/>
        <item x="164"/>
        <item x="84"/>
        <item x="29"/>
        <item x="108"/>
        <item x="90"/>
        <item x="96"/>
        <item x="167"/>
        <item x="111"/>
        <item x="40"/>
        <item x="150"/>
        <item x="91"/>
        <item x="21"/>
        <item x="55"/>
        <item x="93"/>
        <item x="168"/>
        <item x="11"/>
        <item x="59"/>
        <item x="123"/>
        <item t="default"/>
      </items>
    </pivotField>
    <pivotField axis="axisRow" showAll="0">
      <items count="7">
        <item x="2"/>
        <item x="3"/>
        <item x="0"/>
        <item x="1"/>
        <item x="5"/>
        <item x="4"/>
        <item t="default"/>
      </items>
    </pivotField>
  </pivotFields>
  <rowFields count="1">
    <field x="14"/>
  </rowFields>
  <rowItems count="7">
    <i>
      <x/>
    </i>
    <i>
      <x v="1"/>
    </i>
    <i>
      <x v="2"/>
    </i>
    <i>
      <x v="3"/>
    </i>
    <i>
      <x v="4"/>
    </i>
    <i>
      <x v="5"/>
    </i>
    <i t="grand">
      <x/>
    </i>
  </rowItems>
  <colItems count="1">
    <i/>
  </colItems>
  <dataFields count="1">
    <dataField name="Sum of Recovered / 100 Cases" fld="9" baseField="0" baseItem="0"/>
  </dataFields>
  <chartFormats count="8">
    <chartFormat chart="38" format="0" series="1">
      <pivotArea type="data" outline="0" fieldPosition="0">
        <references count="1">
          <reference field="4294967294" count="1" selected="0">
            <x v="0"/>
          </reference>
        </references>
      </pivotArea>
    </chartFormat>
    <chartFormat chart="41" format="8" series="1">
      <pivotArea type="data" outline="0" fieldPosition="0">
        <references count="1">
          <reference field="4294967294" count="1" selected="0">
            <x v="0"/>
          </reference>
        </references>
      </pivotArea>
    </chartFormat>
    <chartFormat chart="41" format="9">
      <pivotArea type="data" outline="0" fieldPosition="0">
        <references count="2">
          <reference field="4294967294" count="1" selected="0">
            <x v="0"/>
          </reference>
          <reference field="14" count="1" selected="0">
            <x v="0"/>
          </reference>
        </references>
      </pivotArea>
    </chartFormat>
    <chartFormat chart="41" format="10">
      <pivotArea type="data" outline="0" fieldPosition="0">
        <references count="2">
          <reference field="4294967294" count="1" selected="0">
            <x v="0"/>
          </reference>
          <reference field="14" count="1" selected="0">
            <x v="1"/>
          </reference>
        </references>
      </pivotArea>
    </chartFormat>
    <chartFormat chart="41" format="11">
      <pivotArea type="data" outline="0" fieldPosition="0">
        <references count="2">
          <reference field="4294967294" count="1" selected="0">
            <x v="0"/>
          </reference>
          <reference field="14" count="1" selected="0">
            <x v="2"/>
          </reference>
        </references>
      </pivotArea>
    </chartFormat>
    <chartFormat chart="41" format="12">
      <pivotArea type="data" outline="0" fieldPosition="0">
        <references count="2">
          <reference field="4294967294" count="1" selected="0">
            <x v="0"/>
          </reference>
          <reference field="14" count="1" selected="0">
            <x v="3"/>
          </reference>
        </references>
      </pivotArea>
    </chartFormat>
    <chartFormat chart="41" format="13">
      <pivotArea type="data" outline="0" fieldPosition="0">
        <references count="2">
          <reference field="4294967294" count="1" selected="0">
            <x v="0"/>
          </reference>
          <reference field="14" count="1" selected="0">
            <x v="4"/>
          </reference>
        </references>
      </pivotArea>
    </chartFormat>
    <chartFormat chart="41" format="14">
      <pivotArea type="data" outline="0" fieldPosition="0">
        <references count="2">
          <reference field="4294967294" count="1" selected="0">
            <x v="0"/>
          </reference>
          <reference field="1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217D8B1-2EC3-4190-985E-DF06699A28ED}" name="PivotTable9"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9">
  <location ref="A93:B100" firstHeaderRow="1" firstDataRow="1" firstDataCol="1"/>
  <pivotFields count="15">
    <pivotField showAll="0">
      <items count="1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4"/>
        <item x="175"/>
        <item x="176"/>
        <item x="177"/>
        <item x="178"/>
        <item x="173"/>
        <item x="179"/>
        <item x="180"/>
        <item x="181"/>
        <item x="182"/>
        <item x="183"/>
        <item x="184"/>
        <item x="185"/>
        <item x="186"/>
        <item t="default"/>
      </items>
    </pivotField>
    <pivotField numFmtId="1" showAll="0">
      <items count="185">
        <item x="180"/>
        <item x="75"/>
        <item x="68"/>
        <item x="139"/>
        <item x="49"/>
        <item x="94"/>
        <item x="69"/>
        <item x="140"/>
        <item x="59"/>
        <item x="17"/>
        <item x="141"/>
        <item x="129"/>
        <item x="5"/>
        <item x="19"/>
        <item x="14"/>
        <item x="147"/>
        <item x="112"/>
        <item x="24"/>
        <item x="168"/>
        <item x="30"/>
        <item x="55"/>
        <item x="113"/>
        <item x="63"/>
        <item x="109"/>
        <item x="27"/>
        <item x="38"/>
        <item x="28"/>
        <item x="11"/>
        <item x="73"/>
        <item x="179"/>
        <item x="163"/>
        <item x="97"/>
        <item x="165"/>
        <item x="162"/>
        <item x="142"/>
        <item x="107"/>
        <item x="22"/>
        <item x="86"/>
        <item x="143"/>
        <item x="167"/>
        <item x="3"/>
        <item x="34"/>
        <item x="4"/>
        <item x="45"/>
        <item x="26"/>
        <item x="172"/>
        <item x="122"/>
        <item x="64"/>
        <item x="98"/>
        <item x="88"/>
        <item x="176"/>
        <item x="95"/>
        <item x="169"/>
        <item x="159"/>
        <item x="120"/>
        <item x="181"/>
        <item x="116"/>
        <item x="18"/>
        <item x="148"/>
        <item x="117"/>
        <item x="78"/>
        <item x="138"/>
        <item x="72"/>
        <item x="100"/>
        <item x="56"/>
        <item x="151"/>
        <item x="150"/>
        <item x="155"/>
        <item x="57"/>
        <item x="29"/>
        <item x="106"/>
        <item x="44"/>
        <item x="183"/>
        <item x="157"/>
        <item x="99"/>
        <item x="114"/>
        <item x="54"/>
        <item x="152"/>
        <item x="39"/>
        <item x="166"/>
        <item x="105"/>
        <item x="121"/>
        <item x="103"/>
        <item x="96"/>
        <item x="67"/>
        <item x="77"/>
        <item x="130"/>
        <item x="182"/>
        <item x="33"/>
        <item x="1"/>
        <item x="43"/>
        <item x="48"/>
        <item x="108"/>
        <item x="101"/>
        <item x="71"/>
        <item x="62"/>
        <item x="164"/>
        <item x="74"/>
        <item x="60"/>
        <item x="91"/>
        <item x="40"/>
        <item x="104"/>
        <item x="125"/>
        <item x="102"/>
        <item x="145"/>
        <item x="124"/>
        <item x="21"/>
        <item x="25"/>
        <item x="158"/>
        <item x="47"/>
        <item x="154"/>
        <item x="58"/>
        <item x="53"/>
        <item x="8"/>
        <item x="46"/>
        <item x="42"/>
        <item x="41"/>
        <item x="178"/>
        <item x="31"/>
        <item x="90"/>
        <item x="118"/>
        <item x="9"/>
        <item x="115"/>
        <item x="177"/>
        <item x="111"/>
        <item x="146"/>
        <item x="83"/>
        <item x="2"/>
        <item x="10"/>
        <item x="87"/>
        <item x="93"/>
        <item x="66"/>
        <item x="161"/>
        <item x="0"/>
        <item x="7"/>
        <item x="12"/>
        <item x="76"/>
        <item x="123"/>
        <item x="133"/>
        <item x="70"/>
        <item x="136"/>
        <item x="134"/>
        <item x="149"/>
        <item x="119"/>
        <item x="174"/>
        <item x="128"/>
        <item x="84"/>
        <item x="50"/>
        <item x="92"/>
        <item x="16"/>
        <item x="173"/>
        <item x="15"/>
        <item x="20"/>
        <item x="126"/>
        <item x="160"/>
        <item x="51"/>
        <item x="132"/>
        <item x="89"/>
        <item x="36"/>
        <item x="52"/>
        <item x="80"/>
        <item x="135"/>
        <item x="82"/>
        <item x="32"/>
        <item x="6"/>
        <item x="65"/>
        <item x="61"/>
        <item x="13"/>
        <item x="170"/>
        <item x="85"/>
        <item x="37"/>
        <item x="144"/>
        <item x="156"/>
        <item x="127"/>
        <item x="81"/>
        <item x="175"/>
        <item x="35"/>
        <item x="131"/>
        <item x="110"/>
        <item x="153"/>
        <item x="137"/>
        <item x="79"/>
        <item x="23"/>
        <item x="171"/>
        <item t="default"/>
      </items>
    </pivotField>
    <pivotField numFmtId="1" showAll="0">
      <items count="151">
        <item x="19"/>
        <item x="26"/>
        <item x="17"/>
        <item x="5"/>
        <item x="96"/>
        <item x="115"/>
        <item x="25"/>
        <item x="14"/>
        <item x="56"/>
        <item x="92"/>
        <item x="68"/>
        <item x="11"/>
        <item x="83"/>
        <item x="117"/>
        <item x="91"/>
        <item x="57"/>
        <item x="137"/>
        <item x="41"/>
        <item x="64"/>
        <item x="136"/>
        <item x="27"/>
        <item x="131"/>
        <item x="63"/>
        <item x="122"/>
        <item x="123"/>
        <item x="82"/>
        <item x="51"/>
        <item x="18"/>
        <item x="149"/>
        <item x="134"/>
        <item x="4"/>
        <item x="116"/>
        <item x="107"/>
        <item x="62"/>
        <item x="128"/>
        <item x="98"/>
        <item x="55"/>
        <item x="138"/>
        <item x="49"/>
        <item x="3"/>
        <item x="24"/>
        <item x="35"/>
        <item x="44"/>
        <item x="30"/>
        <item x="135"/>
        <item x="85"/>
        <item x="121"/>
        <item x="50"/>
        <item x="84"/>
        <item x="31"/>
        <item x="146"/>
        <item x="86"/>
        <item x="40"/>
        <item x="88"/>
        <item x="125"/>
        <item x="38"/>
        <item x="89"/>
        <item x="100"/>
        <item x="87"/>
        <item x="37"/>
        <item x="124"/>
        <item x="144"/>
        <item x="90"/>
        <item x="39"/>
        <item x="148"/>
        <item x="12"/>
        <item x="1"/>
        <item x="145"/>
        <item x="93"/>
        <item x="65"/>
        <item x="112"/>
        <item x="8"/>
        <item x="59"/>
        <item x="79"/>
        <item x="119"/>
        <item x="60"/>
        <item x="36"/>
        <item x="52"/>
        <item x="103"/>
        <item x="78"/>
        <item x="21"/>
        <item x="127"/>
        <item x="97"/>
        <item x="53"/>
        <item x="142"/>
        <item x="23"/>
        <item x="42"/>
        <item x="28"/>
        <item x="104"/>
        <item x="48"/>
        <item x="10"/>
        <item x="80"/>
        <item x="102"/>
        <item x="74"/>
        <item x="147"/>
        <item x="15"/>
        <item x="120"/>
        <item x="77"/>
        <item x="67"/>
        <item x="43"/>
        <item x="7"/>
        <item x="9"/>
        <item x="130"/>
        <item x="95"/>
        <item x="101"/>
        <item x="76"/>
        <item x="45"/>
        <item x="2"/>
        <item x="66"/>
        <item x="0"/>
        <item x="81"/>
        <item x="106"/>
        <item x="141"/>
        <item x="110"/>
        <item x="111"/>
        <item x="61"/>
        <item x="73"/>
        <item x="109"/>
        <item x="133"/>
        <item x="113"/>
        <item x="20"/>
        <item x="118"/>
        <item x="13"/>
        <item x="6"/>
        <item x="72"/>
        <item x="47"/>
        <item x="33"/>
        <item x="70"/>
        <item x="46"/>
        <item x="139"/>
        <item x="132"/>
        <item x="105"/>
        <item x="99"/>
        <item x="126"/>
        <item x="34"/>
        <item x="29"/>
        <item x="58"/>
        <item x="32"/>
        <item x="16"/>
        <item x="114"/>
        <item x="71"/>
        <item x="108"/>
        <item x="129"/>
        <item x="54"/>
        <item x="69"/>
        <item x="75"/>
        <item x="94"/>
        <item x="143"/>
        <item x="22"/>
        <item x="140"/>
        <item t="default"/>
      </items>
    </pivotField>
    <pivotField numFmtId="1" showAll="0">
      <items count="179">
        <item x="32"/>
        <item x="174"/>
        <item x="127"/>
        <item x="73"/>
        <item x="67"/>
        <item x="137"/>
        <item x="49"/>
        <item x="92"/>
        <item x="138"/>
        <item x="68"/>
        <item x="17"/>
        <item x="139"/>
        <item x="22"/>
        <item x="5"/>
        <item x="62"/>
        <item x="98"/>
        <item x="19"/>
        <item x="11"/>
        <item x="14"/>
        <item x="115"/>
        <item x="111"/>
        <item x="95"/>
        <item x="24"/>
        <item x="30"/>
        <item x="71"/>
        <item x="159"/>
        <item x="117"/>
        <item x="55"/>
        <item x="112"/>
        <item x="4"/>
        <item x="27"/>
        <item x="28"/>
        <item x="38"/>
        <item x="108"/>
        <item x="172"/>
        <item x="157"/>
        <item x="177"/>
        <item x="97"/>
        <item x="161"/>
        <item x="96"/>
        <item x="140"/>
        <item x="106"/>
        <item x="84"/>
        <item x="141"/>
        <item x="3"/>
        <item x="113"/>
        <item x="34"/>
        <item x="39"/>
        <item x="175"/>
        <item x="54"/>
        <item x="45"/>
        <item x="63"/>
        <item x="155"/>
        <item x="26"/>
        <item x="169"/>
        <item x="136"/>
        <item x="165"/>
        <item x="57"/>
        <item x="120"/>
        <item x="18"/>
        <item x="86"/>
        <item x="93"/>
        <item x="162"/>
        <item x="151"/>
        <item x="144"/>
        <item x="66"/>
        <item x="168"/>
        <item x="118"/>
        <item x="148"/>
        <item x="33"/>
        <item x="29"/>
        <item x="146"/>
        <item x="99"/>
        <item x="102"/>
        <item x="94"/>
        <item x="147"/>
        <item x="76"/>
        <item x="105"/>
        <item x="56"/>
        <item x="153"/>
        <item x="44"/>
        <item x="119"/>
        <item x="104"/>
        <item x="1"/>
        <item x="176"/>
        <item x="128"/>
        <item x="160"/>
        <item x="75"/>
        <item x="173"/>
        <item x="41"/>
        <item x="43"/>
        <item x="89"/>
        <item x="72"/>
        <item x="107"/>
        <item x="61"/>
        <item x="100"/>
        <item x="21"/>
        <item x="48"/>
        <item x="74"/>
        <item x="122"/>
        <item x="25"/>
        <item x="40"/>
        <item x="154"/>
        <item x="158"/>
        <item x="70"/>
        <item x="101"/>
        <item x="58"/>
        <item x="143"/>
        <item x="59"/>
        <item x="53"/>
        <item x="88"/>
        <item x="103"/>
        <item x="123"/>
        <item x="8"/>
        <item x="171"/>
        <item x="42"/>
        <item x="46"/>
        <item x="170"/>
        <item x="47"/>
        <item x="150"/>
        <item x="116"/>
        <item x="31"/>
        <item x="110"/>
        <item x="114"/>
        <item x="16"/>
        <item x="121"/>
        <item x="9"/>
        <item x="2"/>
        <item x="91"/>
        <item x="20"/>
        <item x="85"/>
        <item x="10"/>
        <item x="81"/>
        <item x="0"/>
        <item x="134"/>
        <item x="130"/>
        <item x="7"/>
        <item x="82"/>
        <item x="65"/>
        <item x="50"/>
        <item x="156"/>
        <item x="69"/>
        <item x="131"/>
        <item x="52"/>
        <item x="51"/>
        <item x="126"/>
        <item x="132"/>
        <item x="12"/>
        <item x="166"/>
        <item x="145"/>
        <item x="167"/>
        <item x="87"/>
        <item x="90"/>
        <item x="124"/>
        <item x="78"/>
        <item x="15"/>
        <item x="6"/>
        <item x="80"/>
        <item x="36"/>
        <item x="60"/>
        <item x="133"/>
        <item x="13"/>
        <item x="37"/>
        <item x="152"/>
        <item x="64"/>
        <item x="83"/>
        <item x="163"/>
        <item x="142"/>
        <item x="125"/>
        <item x="79"/>
        <item x="129"/>
        <item x="149"/>
        <item x="109"/>
        <item x="35"/>
        <item x="135"/>
        <item x="77"/>
        <item x="164"/>
        <item x="23"/>
        <item t="default"/>
      </items>
    </pivotField>
    <pivotField numFmtId="1" showAll="0">
      <items count="174">
        <item x="24"/>
        <item x="65"/>
        <item x="104"/>
        <item x="94"/>
        <item x="107"/>
        <item x="14"/>
        <item x="157"/>
        <item x="19"/>
        <item x="152"/>
        <item x="5"/>
        <item x="37"/>
        <item x="17"/>
        <item x="73"/>
        <item x="47"/>
        <item x="102"/>
        <item x="116"/>
        <item x="33"/>
        <item x="54"/>
        <item x="123"/>
        <item x="3"/>
        <item x="168"/>
        <item x="108"/>
        <item x="53"/>
        <item x="137"/>
        <item x="27"/>
        <item x="29"/>
        <item x="43"/>
        <item x="133"/>
        <item x="26"/>
        <item x="83"/>
        <item x="119"/>
        <item x="155"/>
        <item x="81"/>
        <item x="161"/>
        <item x="89"/>
        <item x="57"/>
        <item x="99"/>
        <item x="69"/>
        <item x="44"/>
        <item x="61"/>
        <item x="165"/>
        <item x="141"/>
        <item x="158"/>
        <item x="156"/>
        <item x="60"/>
        <item x="11"/>
        <item x="154"/>
        <item x="95"/>
        <item x="91"/>
        <item x="170"/>
        <item x="138"/>
        <item x="92"/>
        <item x="101"/>
        <item x="72"/>
        <item x="149"/>
        <item x="140"/>
        <item x="46"/>
        <item x="151"/>
        <item x="4"/>
        <item x="147"/>
        <item x="22"/>
        <item x="18"/>
        <item x="67"/>
        <item x="28"/>
        <item x="78"/>
        <item x="42"/>
        <item x="100"/>
        <item x="115"/>
        <item x="144"/>
        <item x="132"/>
        <item x="145"/>
        <item x="68"/>
        <item x="153"/>
        <item x="55"/>
        <item x="96"/>
        <item x="103"/>
        <item x="142"/>
        <item x="171"/>
        <item x="9"/>
        <item x="124"/>
        <item x="111"/>
        <item x="112"/>
        <item x="98"/>
        <item x="1"/>
        <item x="109"/>
        <item x="90"/>
        <item x="172"/>
        <item x="52"/>
        <item x="30"/>
        <item x="93"/>
        <item x="38"/>
        <item x="59"/>
        <item x="64"/>
        <item x="70"/>
        <item x="39"/>
        <item x="32"/>
        <item x="135"/>
        <item x="129"/>
        <item x="86"/>
        <item x="12"/>
        <item x="35"/>
        <item x="97"/>
        <item x="63"/>
        <item x="45"/>
        <item x="110"/>
        <item x="118"/>
        <item x="25"/>
        <item x="148"/>
        <item x="113"/>
        <item x="139"/>
        <item x="41"/>
        <item x="21"/>
        <item x="8"/>
        <item x="167"/>
        <item x="15"/>
        <item x="106"/>
        <item x="163"/>
        <item x="10"/>
        <item x="169"/>
        <item x="51"/>
        <item x="62"/>
        <item x="56"/>
        <item x="2"/>
        <item x="82"/>
        <item x="127"/>
        <item x="87"/>
        <item x="166"/>
        <item x="0"/>
        <item x="85"/>
        <item x="7"/>
        <item x="88"/>
        <item x="159"/>
        <item x="66"/>
        <item x="40"/>
        <item x="80"/>
        <item x="128"/>
        <item x="130"/>
        <item x="34"/>
        <item x="120"/>
        <item x="117"/>
        <item x="76"/>
        <item x="136"/>
        <item x="122"/>
        <item x="121"/>
        <item x="162"/>
        <item x="84"/>
        <item x="77"/>
        <item x="48"/>
        <item x="71"/>
        <item x="79"/>
        <item x="75"/>
        <item x="16"/>
        <item x="49"/>
        <item x="134"/>
        <item x="20"/>
        <item x="114"/>
        <item x="105"/>
        <item x="50"/>
        <item x="126"/>
        <item x="150"/>
        <item x="6"/>
        <item x="146"/>
        <item x="13"/>
        <item x="125"/>
        <item x="31"/>
        <item x="58"/>
        <item x="36"/>
        <item x="143"/>
        <item x="131"/>
        <item x="164"/>
        <item x="74"/>
        <item x="23"/>
        <item x="160"/>
        <item t="default"/>
      </items>
    </pivotField>
    <pivotField numFmtId="1" showAll="0">
      <items count="123">
        <item x="14"/>
        <item x="25"/>
        <item x="45"/>
        <item x="37"/>
        <item x="5"/>
        <item x="47"/>
        <item x="51"/>
        <item x="27"/>
        <item x="68"/>
        <item x="40"/>
        <item x="3"/>
        <item x="64"/>
        <item x="32"/>
        <item x="22"/>
        <item x="88"/>
        <item x="23"/>
        <item x="4"/>
        <item x="57"/>
        <item x="24"/>
        <item x="108"/>
        <item x="35"/>
        <item x="58"/>
        <item x="106"/>
        <item x="82"/>
        <item x="54"/>
        <item x="36"/>
        <item x="109"/>
        <item x="11"/>
        <item x="107"/>
        <item x="110"/>
        <item x="56"/>
        <item x="50"/>
        <item x="19"/>
        <item x="100"/>
        <item x="34"/>
        <item x="112"/>
        <item x="77"/>
        <item x="83"/>
        <item x="121"/>
        <item x="7"/>
        <item x="102"/>
        <item x="9"/>
        <item x="80"/>
        <item x="92"/>
        <item x="0"/>
        <item x="39"/>
        <item x="1"/>
        <item x="15"/>
        <item x="79"/>
        <item x="87"/>
        <item x="74"/>
        <item x="96"/>
        <item x="84"/>
        <item x="120"/>
        <item x="75"/>
        <item x="31"/>
        <item x="66"/>
        <item x="38"/>
        <item x="21"/>
        <item x="49"/>
        <item x="29"/>
        <item x="55"/>
        <item x="116"/>
        <item x="97"/>
        <item x="95"/>
        <item x="12"/>
        <item x="8"/>
        <item x="70"/>
        <item x="76"/>
        <item x="10"/>
        <item x="111"/>
        <item x="16"/>
        <item x="44"/>
        <item x="103"/>
        <item x="85"/>
        <item x="43"/>
        <item x="52"/>
        <item x="59"/>
        <item x="42"/>
        <item x="104"/>
        <item x="73"/>
        <item x="71"/>
        <item x="119"/>
        <item x="46"/>
        <item x="67"/>
        <item x="72"/>
        <item x="81"/>
        <item x="33"/>
        <item x="2"/>
        <item x="86"/>
        <item x="53"/>
        <item x="118"/>
        <item x="26"/>
        <item x="117"/>
        <item x="18"/>
        <item x="115"/>
        <item x="113"/>
        <item x="89"/>
        <item x="98"/>
        <item x="91"/>
        <item x="90"/>
        <item x="41"/>
        <item x="61"/>
        <item x="69"/>
        <item x="94"/>
        <item x="17"/>
        <item x="101"/>
        <item x="65"/>
        <item x="28"/>
        <item x="62"/>
        <item x="48"/>
        <item x="63"/>
        <item x="13"/>
        <item x="6"/>
        <item x="78"/>
        <item x="99"/>
        <item x="105"/>
        <item x="93"/>
        <item x="30"/>
        <item x="20"/>
        <item x="60"/>
        <item x="114"/>
        <item t="default"/>
      </items>
    </pivotField>
    <pivotField numFmtId="1" showAll="0">
      <items count="39">
        <item x="3"/>
        <item x="4"/>
        <item x="16"/>
        <item x="15"/>
        <item x="7"/>
        <item x="20"/>
        <item x="1"/>
        <item x="11"/>
        <item x="2"/>
        <item x="31"/>
        <item x="0"/>
        <item x="12"/>
        <item x="30"/>
        <item x="9"/>
        <item x="27"/>
        <item x="18"/>
        <item x="34"/>
        <item x="17"/>
        <item x="28"/>
        <item x="21"/>
        <item x="32"/>
        <item x="6"/>
        <item x="19"/>
        <item x="22"/>
        <item x="24"/>
        <item x="8"/>
        <item x="13"/>
        <item x="35"/>
        <item x="26"/>
        <item x="5"/>
        <item x="25"/>
        <item x="36"/>
        <item x="29"/>
        <item x="14"/>
        <item x="33"/>
        <item x="10"/>
        <item x="23"/>
        <item x="37"/>
        <item t="default"/>
      </items>
    </pivotField>
    <pivotField numFmtId="1" showAll="0">
      <items count="104">
        <item x="3"/>
        <item x="14"/>
        <item x="21"/>
        <item x="98"/>
        <item x="24"/>
        <item x="4"/>
        <item x="20"/>
        <item x="26"/>
        <item x="93"/>
        <item x="17"/>
        <item x="13"/>
        <item x="88"/>
        <item x="58"/>
        <item x="0"/>
        <item x="62"/>
        <item x="22"/>
        <item x="59"/>
        <item x="67"/>
        <item x="90"/>
        <item x="101"/>
        <item x="8"/>
        <item x="81"/>
        <item x="37"/>
        <item x="89"/>
        <item x="85"/>
        <item x="80"/>
        <item x="92"/>
        <item x="1"/>
        <item x="12"/>
        <item x="83"/>
        <item x="32"/>
        <item x="28"/>
        <item x="33"/>
        <item x="30"/>
        <item x="54"/>
        <item x="87"/>
        <item x="23"/>
        <item x="44"/>
        <item x="50"/>
        <item x="73"/>
        <item x="66"/>
        <item x="45"/>
        <item x="36"/>
        <item x="7"/>
        <item x="51"/>
        <item x="78"/>
        <item x="76"/>
        <item x="38"/>
        <item x="84"/>
        <item x="60"/>
        <item x="31"/>
        <item x="6"/>
        <item x="29"/>
        <item x="91"/>
        <item x="100"/>
        <item x="40"/>
        <item x="63"/>
        <item x="19"/>
        <item x="65"/>
        <item x="41"/>
        <item x="39"/>
        <item x="55"/>
        <item x="77"/>
        <item x="42"/>
        <item x="15"/>
        <item x="96"/>
        <item x="97"/>
        <item x="75"/>
        <item x="52"/>
        <item x="16"/>
        <item x="10"/>
        <item x="102"/>
        <item x="9"/>
        <item x="99"/>
        <item x="68"/>
        <item x="61"/>
        <item x="56"/>
        <item x="2"/>
        <item x="57"/>
        <item x="69"/>
        <item x="43"/>
        <item x="72"/>
        <item x="94"/>
        <item x="35"/>
        <item x="47"/>
        <item x="34"/>
        <item x="70"/>
        <item x="11"/>
        <item x="53"/>
        <item x="25"/>
        <item x="49"/>
        <item x="48"/>
        <item x="5"/>
        <item x="82"/>
        <item x="79"/>
        <item x="71"/>
        <item x="74"/>
        <item x="64"/>
        <item x="86"/>
        <item x="27"/>
        <item x="95"/>
        <item x="46"/>
        <item x="18"/>
        <item t="default"/>
      </items>
    </pivotField>
    <pivotField dataField="1" numFmtId="2" showAll="0">
      <items count="146">
        <item x="19"/>
        <item x="119"/>
        <item x="110"/>
        <item x="136"/>
        <item x="28"/>
        <item x="22"/>
        <item x="12"/>
        <item x="124"/>
        <item x="98"/>
        <item x="88"/>
        <item x="59"/>
        <item x="105"/>
        <item x="68"/>
        <item x="140"/>
        <item x="138"/>
        <item x="40"/>
        <item x="62"/>
        <item x="97"/>
        <item x="55"/>
        <item x="78"/>
        <item x="39"/>
        <item x="73"/>
        <item x="15"/>
        <item x="130"/>
        <item x="141"/>
        <item x="77"/>
        <item x="29"/>
        <item x="115"/>
        <item x="8"/>
        <item x="46"/>
        <item x="85"/>
        <item x="75"/>
        <item x="32"/>
        <item x="13"/>
        <item x="63"/>
        <item x="10"/>
        <item x="57"/>
        <item x="52"/>
        <item x="96"/>
        <item x="129"/>
        <item x="95"/>
        <item x="53"/>
        <item x="79"/>
        <item x="114"/>
        <item x="112"/>
        <item x="50"/>
        <item x="37"/>
        <item x="27"/>
        <item x="132"/>
        <item x="86"/>
        <item x="43"/>
        <item x="6"/>
        <item x="7"/>
        <item x="18"/>
        <item x="116"/>
        <item x="122"/>
        <item x="133"/>
        <item x="102"/>
        <item x="121"/>
        <item x="24"/>
        <item x="65"/>
        <item x="117"/>
        <item x="69"/>
        <item x="30"/>
        <item x="38"/>
        <item x="107"/>
        <item x="83"/>
        <item x="44"/>
        <item x="137"/>
        <item x="56"/>
        <item x="135"/>
        <item x="80"/>
        <item x="90"/>
        <item x="82"/>
        <item x="34"/>
        <item x="87"/>
        <item x="49"/>
        <item x="104"/>
        <item x="21"/>
        <item x="41"/>
        <item x="11"/>
        <item x="91"/>
        <item x="66"/>
        <item x="1"/>
        <item x="144"/>
        <item x="100"/>
        <item x="76"/>
        <item x="93"/>
        <item x="25"/>
        <item x="51"/>
        <item x="36"/>
        <item x="109"/>
        <item x="42"/>
        <item x="94"/>
        <item x="9"/>
        <item x="5"/>
        <item x="0"/>
        <item x="23"/>
        <item x="118"/>
        <item x="20"/>
        <item x="108"/>
        <item x="61"/>
        <item x="81"/>
        <item x="71"/>
        <item x="131"/>
        <item x="2"/>
        <item x="17"/>
        <item x="4"/>
        <item x="58"/>
        <item x="45"/>
        <item x="103"/>
        <item x="106"/>
        <item x="60"/>
        <item x="111"/>
        <item x="26"/>
        <item x="89"/>
        <item x="48"/>
        <item x="64"/>
        <item x="35"/>
        <item x="134"/>
        <item x="70"/>
        <item x="120"/>
        <item x="3"/>
        <item x="127"/>
        <item x="128"/>
        <item x="113"/>
        <item x="101"/>
        <item x="84"/>
        <item x="125"/>
        <item x="14"/>
        <item x="72"/>
        <item x="47"/>
        <item x="126"/>
        <item x="31"/>
        <item x="33"/>
        <item x="142"/>
        <item x="123"/>
        <item x="92"/>
        <item x="99"/>
        <item x="67"/>
        <item x="54"/>
        <item x="74"/>
        <item x="16"/>
        <item x="139"/>
        <item x="143"/>
        <item t="default"/>
      </items>
    </pivotField>
    <pivotField numFmtId="2" showAll="0">
      <items count="178">
        <item x="32"/>
        <item x="115"/>
        <item x="167"/>
        <item x="113"/>
        <item x="22"/>
        <item x="74"/>
        <item x="125"/>
        <item x="176"/>
        <item x="63"/>
        <item x="96"/>
        <item x="11"/>
        <item x="41"/>
        <item x="94"/>
        <item x="4"/>
        <item x="39"/>
        <item x="16"/>
        <item x="54"/>
        <item x="111"/>
        <item x="20"/>
        <item x="163"/>
        <item x="128"/>
        <item x="67"/>
        <item x="33"/>
        <item x="142"/>
        <item x="172"/>
        <item x="157"/>
        <item x="61"/>
        <item x="52"/>
        <item x="71"/>
        <item x="82"/>
        <item x="51"/>
        <item x="6"/>
        <item x="87"/>
        <item x="58"/>
        <item x="93"/>
        <item x="119"/>
        <item x="57"/>
        <item x="101"/>
        <item x="72"/>
        <item x="21"/>
        <item x="50"/>
        <item x="147"/>
        <item x="174"/>
        <item x="150"/>
        <item x="37"/>
        <item x="53"/>
        <item x="134"/>
        <item x="152"/>
        <item x="25"/>
        <item x="17"/>
        <item x="88"/>
        <item x="120"/>
        <item x="169"/>
        <item x="151"/>
        <item x="95"/>
        <item x="165"/>
        <item x="13"/>
        <item x="132"/>
        <item x="1"/>
        <item x="124"/>
        <item x="78"/>
        <item x="18"/>
        <item x="73"/>
        <item x="148"/>
        <item x="8"/>
        <item x="175"/>
        <item x="170"/>
        <item x="153"/>
        <item x="90"/>
        <item x="126"/>
        <item x="77"/>
        <item x="86"/>
        <item x="40"/>
        <item x="100"/>
        <item x="30"/>
        <item x="62"/>
        <item x="42"/>
        <item x="141"/>
        <item x="29"/>
        <item x="59"/>
        <item x="2"/>
        <item x="80"/>
        <item x="159"/>
        <item x="0"/>
        <item x="109"/>
        <item x="127"/>
        <item x="130"/>
        <item x="84"/>
        <item x="7"/>
        <item x="69"/>
        <item x="55"/>
        <item x="117"/>
        <item x="114"/>
        <item x="46"/>
        <item x="133"/>
        <item x="143"/>
        <item x="122"/>
        <item x="145"/>
        <item x="75"/>
        <item x="106"/>
        <item x="137"/>
        <item x="5"/>
        <item x="103"/>
        <item x="23"/>
        <item x="129"/>
        <item x="104"/>
        <item x="99"/>
        <item x="10"/>
        <item x="108"/>
        <item x="168"/>
        <item x="112"/>
        <item x="161"/>
        <item x="28"/>
        <item x="173"/>
        <item x="98"/>
        <item x="45"/>
        <item x="43"/>
        <item x="64"/>
        <item x="140"/>
        <item x="146"/>
        <item x="156"/>
        <item x="27"/>
        <item x="83"/>
        <item x="26"/>
        <item x="171"/>
        <item x="139"/>
        <item x="31"/>
        <item x="14"/>
        <item x="89"/>
        <item x="92"/>
        <item x="160"/>
        <item x="19"/>
        <item x="79"/>
        <item x="164"/>
        <item x="34"/>
        <item x="123"/>
        <item x="135"/>
        <item x="85"/>
        <item x="3"/>
        <item x="66"/>
        <item x="70"/>
        <item x="166"/>
        <item x="9"/>
        <item x="154"/>
        <item x="110"/>
        <item x="144"/>
        <item x="15"/>
        <item x="81"/>
        <item x="118"/>
        <item x="36"/>
        <item x="12"/>
        <item x="149"/>
        <item x="47"/>
        <item x="136"/>
        <item x="65"/>
        <item x="35"/>
        <item x="38"/>
        <item x="162"/>
        <item x="44"/>
        <item x="68"/>
        <item x="60"/>
        <item x="138"/>
        <item x="97"/>
        <item x="158"/>
        <item x="56"/>
        <item x="105"/>
        <item x="91"/>
        <item x="155"/>
        <item x="121"/>
        <item x="107"/>
        <item x="102"/>
        <item x="131"/>
        <item x="116"/>
        <item x="24"/>
        <item x="76"/>
        <item x="48"/>
        <item x="49"/>
        <item t="default"/>
      </items>
    </pivotField>
    <pivotField showAll="0">
      <items count="156">
        <item x="19"/>
        <item x="127"/>
        <item x="119"/>
        <item x="143"/>
        <item x="28"/>
        <item x="105"/>
        <item x="12"/>
        <item x="122"/>
        <item x="133"/>
        <item x="69"/>
        <item x="60"/>
        <item x="96"/>
        <item x="145"/>
        <item x="112"/>
        <item x="63"/>
        <item x="83"/>
        <item x="15"/>
        <item x="41"/>
        <item x="137"/>
        <item x="148"/>
        <item x="56"/>
        <item x="79"/>
        <item x="80"/>
        <item x="47"/>
        <item x="90"/>
        <item x="124"/>
        <item x="97"/>
        <item x="77"/>
        <item x="29"/>
        <item x="95"/>
        <item x="93"/>
        <item x="149"/>
        <item x="115"/>
        <item x="136"/>
        <item x="128"/>
        <item x="58"/>
        <item x="75"/>
        <item x="8"/>
        <item x="10"/>
        <item x="139"/>
        <item x="103"/>
        <item x="27"/>
        <item x="150"/>
        <item x="37"/>
        <item x="24"/>
        <item x="121"/>
        <item x="44"/>
        <item x="131"/>
        <item x="92"/>
        <item x="13"/>
        <item x="113"/>
        <item x="130"/>
        <item x="134"/>
        <item x="7"/>
        <item x="30"/>
        <item x="34"/>
        <item x="111"/>
        <item x="85"/>
        <item x="86"/>
        <item x="125"/>
        <item x="40"/>
        <item x="22"/>
        <item x="64"/>
        <item x="45"/>
        <item x="52"/>
        <item x="98"/>
        <item x="18"/>
        <item x="70"/>
        <item x="42"/>
        <item x="53"/>
        <item x="48"/>
        <item x="66"/>
        <item x="81"/>
        <item x="39"/>
        <item x="147"/>
        <item x="43"/>
        <item x="114"/>
        <item x="32"/>
        <item x="101"/>
        <item x="9"/>
        <item x="6"/>
        <item x="141"/>
        <item x="107"/>
        <item x="144"/>
        <item x="78"/>
        <item x="82"/>
        <item x="5"/>
        <item x="100"/>
        <item x="109"/>
        <item x="23"/>
        <item x="54"/>
        <item x="59"/>
        <item x="46"/>
        <item x="91"/>
        <item x="153"/>
        <item x="126"/>
        <item x="0"/>
        <item x="118"/>
        <item x="1"/>
        <item x="62"/>
        <item x="102"/>
        <item x="26"/>
        <item x="73"/>
        <item x="35"/>
        <item x="21"/>
        <item x="94"/>
        <item x="129"/>
        <item x="51"/>
        <item x="84"/>
        <item x="2"/>
        <item x="25"/>
        <item x="72"/>
        <item x="140"/>
        <item x="123"/>
        <item x="135"/>
        <item x="3"/>
        <item x="38"/>
        <item x="154"/>
        <item x="36"/>
        <item x="108"/>
        <item x="116"/>
        <item x="117"/>
        <item x="14"/>
        <item x="74"/>
        <item x="17"/>
        <item x="104"/>
        <item x="71"/>
        <item x="110"/>
        <item x="120"/>
        <item x="33"/>
        <item x="87"/>
        <item x="65"/>
        <item x="89"/>
        <item x="88"/>
        <item x="142"/>
        <item x="138"/>
        <item x="11"/>
        <item x="57"/>
        <item x="20"/>
        <item x="151"/>
        <item x="50"/>
        <item x="99"/>
        <item x="61"/>
        <item x="49"/>
        <item x="4"/>
        <item x="76"/>
        <item x="68"/>
        <item x="132"/>
        <item x="67"/>
        <item x="55"/>
        <item x="16"/>
        <item x="152"/>
        <item x="146"/>
        <item x="106"/>
        <item x="31"/>
        <item t="default"/>
      </items>
    </pivotField>
    <pivotField numFmtId="1" showAll="0">
      <items count="184">
        <item x="179"/>
        <item x="75"/>
        <item x="68"/>
        <item x="139"/>
        <item x="49"/>
        <item x="94"/>
        <item x="69"/>
        <item x="164"/>
        <item x="59"/>
        <item x="17"/>
        <item x="140"/>
        <item x="5"/>
        <item x="100"/>
        <item x="19"/>
        <item x="14"/>
        <item x="146"/>
        <item x="113"/>
        <item x="63"/>
        <item x="166"/>
        <item x="24"/>
        <item x="30"/>
        <item x="11"/>
        <item x="55"/>
        <item x="114"/>
        <item x="28"/>
        <item x="38"/>
        <item x="73"/>
        <item x="27"/>
        <item x="110"/>
        <item x="97"/>
        <item x="177"/>
        <item x="160"/>
        <item x="162"/>
        <item x="22"/>
        <item x="108"/>
        <item x="141"/>
        <item x="142"/>
        <item x="4"/>
        <item x="165"/>
        <item x="86"/>
        <item x="3"/>
        <item x="34"/>
        <item x="45"/>
        <item x="64"/>
        <item x="174"/>
        <item x="26"/>
        <item x="170"/>
        <item x="157"/>
        <item x="123"/>
        <item x="98"/>
        <item x="95"/>
        <item x="88"/>
        <item x="118"/>
        <item x="167"/>
        <item x="117"/>
        <item x="121"/>
        <item x="18"/>
        <item x="180"/>
        <item x="138"/>
        <item x="147"/>
        <item x="182"/>
        <item x="57"/>
        <item x="78"/>
        <item x="101"/>
        <item x="72"/>
        <item x="149"/>
        <item x="99"/>
        <item x="56"/>
        <item x="29"/>
        <item x="115"/>
        <item x="153"/>
        <item x="44"/>
        <item x="107"/>
        <item x="155"/>
        <item x="39"/>
        <item x="96"/>
        <item x="104"/>
        <item x="106"/>
        <item x="54"/>
        <item x="150"/>
        <item x="122"/>
        <item x="163"/>
        <item x="181"/>
        <item x="130"/>
        <item x="67"/>
        <item x="1"/>
        <item x="77"/>
        <item x="43"/>
        <item x="33"/>
        <item x="48"/>
        <item x="102"/>
        <item x="91"/>
        <item x="109"/>
        <item x="62"/>
        <item x="71"/>
        <item x="161"/>
        <item x="74"/>
        <item x="103"/>
        <item x="60"/>
        <item x="40"/>
        <item x="21"/>
        <item x="105"/>
        <item x="178"/>
        <item x="25"/>
        <item x="144"/>
        <item x="126"/>
        <item x="125"/>
        <item x="58"/>
        <item x="156"/>
        <item x="41"/>
        <item x="53"/>
        <item x="176"/>
        <item x="8"/>
        <item x="47"/>
        <item x="90"/>
        <item x="152"/>
        <item x="46"/>
        <item x="42"/>
        <item x="31"/>
        <item x="175"/>
        <item x="116"/>
        <item x="119"/>
        <item x="9"/>
        <item x="112"/>
        <item x="145"/>
        <item x="2"/>
        <item x="87"/>
        <item x="83"/>
        <item x="93"/>
        <item x="10"/>
        <item x="66"/>
        <item x="159"/>
        <item x="76"/>
        <item x="7"/>
        <item x="0"/>
        <item x="12"/>
        <item x="124"/>
        <item x="136"/>
        <item x="70"/>
        <item x="133"/>
        <item x="148"/>
        <item x="134"/>
        <item x="84"/>
        <item x="120"/>
        <item x="50"/>
        <item x="129"/>
        <item x="172"/>
        <item x="92"/>
        <item x="171"/>
        <item x="20"/>
        <item x="16"/>
        <item x="15"/>
        <item x="127"/>
        <item x="132"/>
        <item x="89"/>
        <item x="51"/>
        <item x="158"/>
        <item x="36"/>
        <item x="80"/>
        <item x="52"/>
        <item x="82"/>
        <item x="135"/>
        <item x="32"/>
        <item x="6"/>
        <item x="65"/>
        <item x="37"/>
        <item x="13"/>
        <item x="61"/>
        <item x="168"/>
        <item x="85"/>
        <item x="143"/>
        <item x="154"/>
        <item x="128"/>
        <item x="81"/>
        <item x="173"/>
        <item x="35"/>
        <item x="111"/>
        <item x="131"/>
        <item x="151"/>
        <item x="137"/>
        <item x="79"/>
        <item x="23"/>
        <item x="169"/>
        <item t="default"/>
      </items>
    </pivotField>
    <pivotField numFmtId="1" showAll="0">
      <items count="163">
        <item x="82"/>
        <item x="24"/>
        <item x="64"/>
        <item x="105"/>
        <item x="14"/>
        <item x="67"/>
        <item x="132"/>
        <item x="104"/>
        <item x="17"/>
        <item x="19"/>
        <item x="5"/>
        <item x="146"/>
        <item x="53"/>
        <item x="52"/>
        <item x="72"/>
        <item x="37"/>
        <item x="44"/>
        <item x="3"/>
        <item x="100"/>
        <item x="88"/>
        <item x="33"/>
        <item x="26"/>
        <item x="99"/>
        <item x="47"/>
        <item x="118"/>
        <item x="80"/>
        <item x="148"/>
        <item x="32"/>
        <item x="68"/>
        <item x="29"/>
        <item x="27"/>
        <item x="56"/>
        <item x="153"/>
        <item x="91"/>
        <item x="135"/>
        <item x="93"/>
        <item x="150"/>
        <item x="140"/>
        <item x="43"/>
        <item x="149"/>
        <item x="138"/>
        <item x="60"/>
        <item x="97"/>
        <item x="71"/>
        <item x="128"/>
        <item x="77"/>
        <item x="134"/>
        <item x="156"/>
        <item x="90"/>
        <item x="145"/>
        <item x="18"/>
        <item x="108"/>
        <item x="4"/>
        <item x="11"/>
        <item x="59"/>
        <item x="63"/>
        <item x="22"/>
        <item x="127"/>
        <item x="28"/>
        <item x="101"/>
        <item x="69"/>
        <item x="112"/>
        <item x="46"/>
        <item x="147"/>
        <item x="38"/>
        <item x="98"/>
        <item x="137"/>
        <item x="39"/>
        <item x="142"/>
        <item x="141"/>
        <item x="66"/>
        <item x="54"/>
        <item x="109"/>
        <item x="42"/>
        <item x="96"/>
        <item x="94"/>
        <item x="106"/>
        <item x="1"/>
        <item x="0"/>
        <item x="58"/>
        <item x="119"/>
        <item x="9"/>
        <item x="130"/>
        <item x="144"/>
        <item x="92"/>
        <item x="110"/>
        <item x="30"/>
        <item x="114"/>
        <item x="89"/>
        <item x="161"/>
        <item x="15"/>
        <item x="35"/>
        <item x="160"/>
        <item x="111"/>
        <item x="41"/>
        <item x="143"/>
        <item x="45"/>
        <item x="123"/>
        <item x="85"/>
        <item x="79"/>
        <item x="25"/>
        <item x="159"/>
        <item x="154"/>
        <item x="21"/>
        <item x="103"/>
        <item x="16"/>
        <item x="7"/>
        <item x="95"/>
        <item x="12"/>
        <item x="10"/>
        <item x="124"/>
        <item x="133"/>
        <item x="51"/>
        <item x="8"/>
        <item x="131"/>
        <item x="122"/>
        <item x="107"/>
        <item x="31"/>
        <item x="158"/>
        <item x="61"/>
        <item x="113"/>
        <item x="157"/>
        <item x="50"/>
        <item x="84"/>
        <item x="2"/>
        <item x="40"/>
        <item x="55"/>
        <item x="86"/>
        <item x="155"/>
        <item x="70"/>
        <item x="62"/>
        <item x="81"/>
        <item x="87"/>
        <item x="65"/>
        <item x="57"/>
        <item x="151"/>
        <item x="49"/>
        <item x="117"/>
        <item x="139"/>
        <item x="125"/>
        <item x="116"/>
        <item x="115"/>
        <item x="20"/>
        <item x="48"/>
        <item x="83"/>
        <item x="78"/>
        <item x="74"/>
        <item x="121"/>
        <item x="34"/>
        <item x="129"/>
        <item x="75"/>
        <item x="76"/>
        <item x="13"/>
        <item x="120"/>
        <item x="6"/>
        <item x="126"/>
        <item x="102"/>
        <item x="36"/>
        <item x="136"/>
        <item x="23"/>
        <item x="73"/>
        <item x="152"/>
        <item t="default"/>
      </items>
    </pivotField>
    <pivotField numFmtId="2" showAll="0">
      <items count="170">
        <item x="82"/>
        <item x="23"/>
        <item x="114"/>
        <item x="67"/>
        <item x="103"/>
        <item x="77"/>
        <item x="53"/>
        <item x="79"/>
        <item x="107"/>
        <item x="47"/>
        <item x="56"/>
        <item x="72"/>
        <item x="119"/>
        <item x="32"/>
        <item x="98"/>
        <item x="35"/>
        <item x="154"/>
        <item x="100"/>
        <item x="14"/>
        <item x="161"/>
        <item x="151"/>
        <item x="61"/>
        <item x="0"/>
        <item x="143"/>
        <item x="44"/>
        <item x="89"/>
        <item x="46"/>
        <item x="128"/>
        <item x="116"/>
        <item x="113"/>
        <item x="71"/>
        <item x="3"/>
        <item x="26"/>
        <item x="148"/>
        <item x="145"/>
        <item x="147"/>
        <item x="157"/>
        <item x="57"/>
        <item x="121"/>
        <item x="31"/>
        <item x="25"/>
        <item x="160"/>
        <item x="43"/>
        <item x="101"/>
        <item x="15"/>
        <item x="94"/>
        <item x="33"/>
        <item x="13"/>
        <item x="149"/>
        <item x="133"/>
        <item x="69"/>
        <item x="9"/>
        <item x="139"/>
        <item x="146"/>
        <item x="132"/>
        <item x="166"/>
        <item x="34"/>
        <item x="153"/>
        <item x="50"/>
        <item x="39"/>
        <item x="102"/>
        <item x="112"/>
        <item x="130"/>
        <item x="88"/>
        <item x="63"/>
        <item x="92"/>
        <item x="80"/>
        <item x="159"/>
        <item x="138"/>
        <item x="52"/>
        <item x="140"/>
        <item x="30"/>
        <item x="37"/>
        <item x="135"/>
        <item x="75"/>
        <item x="106"/>
        <item x="142"/>
        <item x="7"/>
        <item x="66"/>
        <item x="127"/>
        <item x="64"/>
        <item x="86"/>
        <item x="156"/>
        <item x="49"/>
        <item x="125"/>
        <item x="12"/>
        <item x="136"/>
        <item x="10"/>
        <item x="115"/>
        <item x="41"/>
        <item x="60"/>
        <item x="105"/>
        <item x="18"/>
        <item x="45"/>
        <item x="141"/>
        <item x="118"/>
        <item x="17"/>
        <item x="117"/>
        <item x="155"/>
        <item x="42"/>
        <item x="58"/>
        <item x="158"/>
        <item x="95"/>
        <item x="38"/>
        <item x="99"/>
        <item x="28"/>
        <item x="120"/>
        <item x="110"/>
        <item x="122"/>
        <item x="162"/>
        <item x="5"/>
        <item x="104"/>
        <item x="137"/>
        <item x="74"/>
        <item x="70"/>
        <item x="83"/>
        <item x="22"/>
        <item x="131"/>
        <item x="68"/>
        <item x="134"/>
        <item x="65"/>
        <item x="19"/>
        <item x="1"/>
        <item x="27"/>
        <item x="2"/>
        <item x="62"/>
        <item x="76"/>
        <item x="48"/>
        <item x="109"/>
        <item x="24"/>
        <item x="126"/>
        <item x="165"/>
        <item x="16"/>
        <item x="129"/>
        <item x="144"/>
        <item x="81"/>
        <item x="124"/>
        <item x="97"/>
        <item x="87"/>
        <item x="78"/>
        <item x="8"/>
        <item x="51"/>
        <item x="163"/>
        <item x="20"/>
        <item x="36"/>
        <item x="85"/>
        <item x="54"/>
        <item x="4"/>
        <item x="6"/>
        <item x="73"/>
        <item x="152"/>
        <item x="164"/>
        <item x="84"/>
        <item x="29"/>
        <item x="108"/>
        <item x="90"/>
        <item x="96"/>
        <item x="167"/>
        <item x="111"/>
        <item x="40"/>
        <item x="150"/>
        <item x="91"/>
        <item x="21"/>
        <item x="55"/>
        <item x="93"/>
        <item x="168"/>
        <item x="11"/>
        <item x="59"/>
        <item x="123"/>
        <item t="default"/>
      </items>
    </pivotField>
    <pivotField axis="axisRow" showAll="0">
      <items count="7">
        <item x="2"/>
        <item x="3"/>
        <item x="0"/>
        <item x="1"/>
        <item x="5"/>
        <item x="4"/>
        <item t="default"/>
      </items>
    </pivotField>
  </pivotFields>
  <rowFields count="1">
    <field x="14"/>
  </rowFields>
  <rowItems count="7">
    <i>
      <x/>
    </i>
    <i>
      <x v="1"/>
    </i>
    <i>
      <x v="2"/>
    </i>
    <i>
      <x v="3"/>
    </i>
    <i>
      <x v="4"/>
    </i>
    <i>
      <x v="5"/>
    </i>
    <i t="grand">
      <x/>
    </i>
  </rowItems>
  <colItems count="1">
    <i/>
  </colItems>
  <dataFields count="1">
    <dataField name="Sum of Deaths / 100 Cases" fld="8" baseField="0" baseItem="0"/>
  </dataFields>
  <chartFormats count="8">
    <chartFormat chart="34" format="0" series="1">
      <pivotArea type="data" outline="0" fieldPosition="0">
        <references count="1">
          <reference field="4294967294" count="1" selected="0">
            <x v="0"/>
          </reference>
        </references>
      </pivotArea>
    </chartFormat>
    <chartFormat chart="37" format="8" series="1">
      <pivotArea type="data" outline="0" fieldPosition="0">
        <references count="1">
          <reference field="4294967294" count="1" selected="0">
            <x v="0"/>
          </reference>
        </references>
      </pivotArea>
    </chartFormat>
    <chartFormat chart="37" format="9">
      <pivotArea type="data" outline="0" fieldPosition="0">
        <references count="2">
          <reference field="4294967294" count="1" selected="0">
            <x v="0"/>
          </reference>
          <reference field="14" count="1" selected="0">
            <x v="0"/>
          </reference>
        </references>
      </pivotArea>
    </chartFormat>
    <chartFormat chart="37" format="10">
      <pivotArea type="data" outline="0" fieldPosition="0">
        <references count="2">
          <reference field="4294967294" count="1" selected="0">
            <x v="0"/>
          </reference>
          <reference field="14" count="1" selected="0">
            <x v="1"/>
          </reference>
        </references>
      </pivotArea>
    </chartFormat>
    <chartFormat chart="37" format="11">
      <pivotArea type="data" outline="0" fieldPosition="0">
        <references count="2">
          <reference field="4294967294" count="1" selected="0">
            <x v="0"/>
          </reference>
          <reference field="14" count="1" selected="0">
            <x v="2"/>
          </reference>
        </references>
      </pivotArea>
    </chartFormat>
    <chartFormat chart="37" format="12">
      <pivotArea type="data" outline="0" fieldPosition="0">
        <references count="2">
          <reference field="4294967294" count="1" selected="0">
            <x v="0"/>
          </reference>
          <reference field="14" count="1" selected="0">
            <x v="3"/>
          </reference>
        </references>
      </pivotArea>
    </chartFormat>
    <chartFormat chart="37" format="13">
      <pivotArea type="data" outline="0" fieldPosition="0">
        <references count="2">
          <reference field="4294967294" count="1" selected="0">
            <x v="0"/>
          </reference>
          <reference field="14" count="1" selected="0">
            <x v="4"/>
          </reference>
        </references>
      </pivotArea>
    </chartFormat>
    <chartFormat chart="37" format="14">
      <pivotArea type="data" outline="0" fieldPosition="0">
        <references count="2">
          <reference field="4294967294" count="1" selected="0">
            <x v="0"/>
          </reference>
          <reference field="1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36B3120-1763-401F-A26A-F8F7ABA11142}" name="PivotTable8"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3">
  <location ref="A72:C79" firstHeaderRow="0" firstDataRow="1" firstDataCol="1"/>
  <pivotFields count="15">
    <pivotField showAll="0">
      <items count="1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4"/>
        <item x="175"/>
        <item x="176"/>
        <item x="177"/>
        <item x="178"/>
        <item x="173"/>
        <item x="179"/>
        <item x="180"/>
        <item x="181"/>
        <item x="182"/>
        <item x="183"/>
        <item x="184"/>
        <item x="185"/>
        <item x="186"/>
        <item t="default"/>
      </items>
    </pivotField>
    <pivotField numFmtId="1" showAll="0">
      <items count="185">
        <item x="180"/>
        <item x="75"/>
        <item x="68"/>
        <item x="139"/>
        <item x="49"/>
        <item x="94"/>
        <item x="69"/>
        <item x="140"/>
        <item x="59"/>
        <item x="17"/>
        <item x="141"/>
        <item x="129"/>
        <item x="5"/>
        <item x="19"/>
        <item x="14"/>
        <item x="147"/>
        <item x="112"/>
        <item x="24"/>
        <item x="168"/>
        <item x="30"/>
        <item x="55"/>
        <item x="113"/>
        <item x="63"/>
        <item x="109"/>
        <item x="27"/>
        <item x="38"/>
        <item x="28"/>
        <item x="11"/>
        <item x="73"/>
        <item x="179"/>
        <item x="163"/>
        <item x="97"/>
        <item x="165"/>
        <item x="162"/>
        <item x="142"/>
        <item x="107"/>
        <item x="22"/>
        <item x="86"/>
        <item x="143"/>
        <item x="167"/>
        <item x="3"/>
        <item x="34"/>
        <item x="4"/>
        <item x="45"/>
        <item x="26"/>
        <item x="172"/>
        <item x="122"/>
        <item x="64"/>
        <item x="98"/>
        <item x="88"/>
        <item x="176"/>
        <item x="95"/>
        <item x="169"/>
        <item x="159"/>
        <item x="120"/>
        <item x="181"/>
        <item x="116"/>
        <item x="18"/>
        <item x="148"/>
        <item x="117"/>
        <item x="78"/>
        <item x="138"/>
        <item x="72"/>
        <item x="100"/>
        <item x="56"/>
        <item x="151"/>
        <item x="150"/>
        <item x="155"/>
        <item x="57"/>
        <item x="29"/>
        <item x="106"/>
        <item x="44"/>
        <item x="183"/>
        <item x="157"/>
        <item x="99"/>
        <item x="114"/>
        <item x="54"/>
        <item x="152"/>
        <item x="39"/>
        <item x="166"/>
        <item x="105"/>
        <item x="121"/>
        <item x="103"/>
        <item x="96"/>
        <item x="67"/>
        <item x="77"/>
        <item x="130"/>
        <item x="182"/>
        <item x="33"/>
        <item x="1"/>
        <item x="43"/>
        <item x="48"/>
        <item x="108"/>
        <item x="101"/>
        <item x="71"/>
        <item x="62"/>
        <item x="164"/>
        <item x="74"/>
        <item x="60"/>
        <item x="91"/>
        <item x="40"/>
        <item x="104"/>
        <item x="125"/>
        <item x="102"/>
        <item x="145"/>
        <item x="124"/>
        <item x="21"/>
        <item x="25"/>
        <item x="158"/>
        <item x="47"/>
        <item x="154"/>
        <item x="58"/>
        <item x="53"/>
        <item x="8"/>
        <item x="46"/>
        <item x="42"/>
        <item x="41"/>
        <item x="178"/>
        <item x="31"/>
        <item x="90"/>
        <item x="118"/>
        <item x="9"/>
        <item x="115"/>
        <item x="177"/>
        <item x="111"/>
        <item x="146"/>
        <item x="83"/>
        <item x="2"/>
        <item x="10"/>
        <item x="87"/>
        <item x="93"/>
        <item x="66"/>
        <item x="161"/>
        <item x="0"/>
        <item x="7"/>
        <item x="12"/>
        <item x="76"/>
        <item x="123"/>
        <item x="133"/>
        <item x="70"/>
        <item x="136"/>
        <item x="134"/>
        <item x="149"/>
        <item x="119"/>
        <item x="174"/>
        <item x="128"/>
        <item x="84"/>
        <item x="50"/>
        <item x="92"/>
        <item x="16"/>
        <item x="173"/>
        <item x="15"/>
        <item x="20"/>
        <item x="126"/>
        <item x="160"/>
        <item x="51"/>
        <item x="132"/>
        <item x="89"/>
        <item x="36"/>
        <item x="52"/>
        <item x="80"/>
        <item x="135"/>
        <item x="82"/>
        <item x="32"/>
        <item x="6"/>
        <item x="65"/>
        <item x="61"/>
        <item x="13"/>
        <item x="170"/>
        <item x="85"/>
        <item x="37"/>
        <item x="144"/>
        <item x="156"/>
        <item x="127"/>
        <item x="81"/>
        <item x="175"/>
        <item x="35"/>
        <item x="131"/>
        <item x="110"/>
        <item x="153"/>
        <item x="137"/>
        <item x="79"/>
        <item x="23"/>
        <item x="171"/>
        <item t="default"/>
      </items>
    </pivotField>
    <pivotField numFmtId="1" showAll="0">
      <items count="151">
        <item x="19"/>
        <item x="26"/>
        <item x="17"/>
        <item x="5"/>
        <item x="96"/>
        <item x="115"/>
        <item x="25"/>
        <item x="14"/>
        <item x="56"/>
        <item x="92"/>
        <item x="68"/>
        <item x="11"/>
        <item x="83"/>
        <item x="117"/>
        <item x="91"/>
        <item x="57"/>
        <item x="137"/>
        <item x="41"/>
        <item x="64"/>
        <item x="136"/>
        <item x="27"/>
        <item x="131"/>
        <item x="63"/>
        <item x="122"/>
        <item x="123"/>
        <item x="82"/>
        <item x="51"/>
        <item x="18"/>
        <item x="149"/>
        <item x="134"/>
        <item x="4"/>
        <item x="116"/>
        <item x="107"/>
        <item x="62"/>
        <item x="128"/>
        <item x="98"/>
        <item x="55"/>
        <item x="138"/>
        <item x="49"/>
        <item x="3"/>
        <item x="24"/>
        <item x="35"/>
        <item x="44"/>
        <item x="30"/>
        <item x="135"/>
        <item x="85"/>
        <item x="121"/>
        <item x="50"/>
        <item x="84"/>
        <item x="31"/>
        <item x="146"/>
        <item x="86"/>
        <item x="40"/>
        <item x="88"/>
        <item x="125"/>
        <item x="38"/>
        <item x="89"/>
        <item x="100"/>
        <item x="87"/>
        <item x="37"/>
        <item x="124"/>
        <item x="144"/>
        <item x="90"/>
        <item x="39"/>
        <item x="148"/>
        <item x="12"/>
        <item x="1"/>
        <item x="145"/>
        <item x="93"/>
        <item x="65"/>
        <item x="112"/>
        <item x="8"/>
        <item x="59"/>
        <item x="79"/>
        <item x="119"/>
        <item x="60"/>
        <item x="36"/>
        <item x="52"/>
        <item x="103"/>
        <item x="78"/>
        <item x="21"/>
        <item x="127"/>
        <item x="97"/>
        <item x="53"/>
        <item x="142"/>
        <item x="23"/>
        <item x="42"/>
        <item x="28"/>
        <item x="104"/>
        <item x="48"/>
        <item x="10"/>
        <item x="80"/>
        <item x="102"/>
        <item x="74"/>
        <item x="147"/>
        <item x="15"/>
        <item x="120"/>
        <item x="77"/>
        <item x="67"/>
        <item x="43"/>
        <item x="7"/>
        <item x="9"/>
        <item x="130"/>
        <item x="95"/>
        <item x="101"/>
        <item x="76"/>
        <item x="45"/>
        <item x="2"/>
        <item x="66"/>
        <item x="0"/>
        <item x="81"/>
        <item x="106"/>
        <item x="141"/>
        <item x="110"/>
        <item x="111"/>
        <item x="61"/>
        <item x="73"/>
        <item x="109"/>
        <item x="133"/>
        <item x="113"/>
        <item x="20"/>
        <item x="118"/>
        <item x="13"/>
        <item x="6"/>
        <item x="72"/>
        <item x="47"/>
        <item x="33"/>
        <item x="70"/>
        <item x="46"/>
        <item x="139"/>
        <item x="132"/>
        <item x="105"/>
        <item x="99"/>
        <item x="126"/>
        <item x="34"/>
        <item x="29"/>
        <item x="58"/>
        <item x="32"/>
        <item x="16"/>
        <item x="114"/>
        <item x="71"/>
        <item x="108"/>
        <item x="129"/>
        <item x="54"/>
        <item x="69"/>
        <item x="75"/>
        <item x="94"/>
        <item x="143"/>
        <item x="22"/>
        <item x="140"/>
        <item t="default"/>
      </items>
    </pivotField>
    <pivotField numFmtId="1" showAll="0">
      <items count="179">
        <item x="32"/>
        <item x="174"/>
        <item x="127"/>
        <item x="73"/>
        <item x="67"/>
        <item x="137"/>
        <item x="49"/>
        <item x="92"/>
        <item x="138"/>
        <item x="68"/>
        <item x="17"/>
        <item x="139"/>
        <item x="22"/>
        <item x="5"/>
        <item x="62"/>
        <item x="98"/>
        <item x="19"/>
        <item x="11"/>
        <item x="14"/>
        <item x="115"/>
        <item x="111"/>
        <item x="95"/>
        <item x="24"/>
        <item x="30"/>
        <item x="71"/>
        <item x="159"/>
        <item x="117"/>
        <item x="55"/>
        <item x="112"/>
        <item x="4"/>
        <item x="27"/>
        <item x="28"/>
        <item x="38"/>
        <item x="108"/>
        <item x="172"/>
        <item x="157"/>
        <item x="177"/>
        <item x="97"/>
        <item x="161"/>
        <item x="96"/>
        <item x="140"/>
        <item x="106"/>
        <item x="84"/>
        <item x="141"/>
        <item x="3"/>
        <item x="113"/>
        <item x="34"/>
        <item x="39"/>
        <item x="175"/>
        <item x="54"/>
        <item x="45"/>
        <item x="63"/>
        <item x="155"/>
        <item x="26"/>
        <item x="169"/>
        <item x="136"/>
        <item x="165"/>
        <item x="57"/>
        <item x="120"/>
        <item x="18"/>
        <item x="86"/>
        <item x="93"/>
        <item x="162"/>
        <item x="151"/>
        <item x="144"/>
        <item x="66"/>
        <item x="168"/>
        <item x="118"/>
        <item x="148"/>
        <item x="33"/>
        <item x="29"/>
        <item x="146"/>
        <item x="99"/>
        <item x="102"/>
        <item x="94"/>
        <item x="147"/>
        <item x="76"/>
        <item x="105"/>
        <item x="56"/>
        <item x="153"/>
        <item x="44"/>
        <item x="119"/>
        <item x="104"/>
        <item x="1"/>
        <item x="176"/>
        <item x="128"/>
        <item x="160"/>
        <item x="75"/>
        <item x="173"/>
        <item x="41"/>
        <item x="43"/>
        <item x="89"/>
        <item x="72"/>
        <item x="107"/>
        <item x="61"/>
        <item x="100"/>
        <item x="21"/>
        <item x="48"/>
        <item x="74"/>
        <item x="122"/>
        <item x="25"/>
        <item x="40"/>
        <item x="154"/>
        <item x="158"/>
        <item x="70"/>
        <item x="101"/>
        <item x="58"/>
        <item x="143"/>
        <item x="59"/>
        <item x="53"/>
        <item x="88"/>
        <item x="103"/>
        <item x="123"/>
        <item x="8"/>
        <item x="171"/>
        <item x="42"/>
        <item x="46"/>
        <item x="170"/>
        <item x="47"/>
        <item x="150"/>
        <item x="116"/>
        <item x="31"/>
        <item x="110"/>
        <item x="114"/>
        <item x="16"/>
        <item x="121"/>
        <item x="9"/>
        <item x="2"/>
        <item x="91"/>
        <item x="20"/>
        <item x="85"/>
        <item x="10"/>
        <item x="81"/>
        <item x="0"/>
        <item x="134"/>
        <item x="130"/>
        <item x="7"/>
        <item x="82"/>
        <item x="65"/>
        <item x="50"/>
        <item x="156"/>
        <item x="69"/>
        <item x="131"/>
        <item x="52"/>
        <item x="51"/>
        <item x="126"/>
        <item x="132"/>
        <item x="12"/>
        <item x="166"/>
        <item x="145"/>
        <item x="167"/>
        <item x="87"/>
        <item x="90"/>
        <item x="124"/>
        <item x="78"/>
        <item x="15"/>
        <item x="6"/>
        <item x="80"/>
        <item x="36"/>
        <item x="60"/>
        <item x="133"/>
        <item x="13"/>
        <item x="37"/>
        <item x="152"/>
        <item x="64"/>
        <item x="83"/>
        <item x="163"/>
        <item x="142"/>
        <item x="125"/>
        <item x="79"/>
        <item x="129"/>
        <item x="149"/>
        <item x="109"/>
        <item x="35"/>
        <item x="135"/>
        <item x="77"/>
        <item x="164"/>
        <item x="23"/>
        <item t="default"/>
      </items>
    </pivotField>
    <pivotField numFmtId="1" showAll="0">
      <items count="174">
        <item x="24"/>
        <item x="65"/>
        <item x="104"/>
        <item x="94"/>
        <item x="107"/>
        <item x="14"/>
        <item x="157"/>
        <item x="19"/>
        <item x="152"/>
        <item x="5"/>
        <item x="37"/>
        <item x="17"/>
        <item x="73"/>
        <item x="47"/>
        <item x="102"/>
        <item x="116"/>
        <item x="33"/>
        <item x="54"/>
        <item x="123"/>
        <item x="3"/>
        <item x="168"/>
        <item x="108"/>
        <item x="53"/>
        <item x="137"/>
        <item x="27"/>
        <item x="29"/>
        <item x="43"/>
        <item x="133"/>
        <item x="26"/>
        <item x="83"/>
        <item x="119"/>
        <item x="155"/>
        <item x="81"/>
        <item x="161"/>
        <item x="89"/>
        <item x="57"/>
        <item x="99"/>
        <item x="69"/>
        <item x="44"/>
        <item x="61"/>
        <item x="165"/>
        <item x="141"/>
        <item x="158"/>
        <item x="156"/>
        <item x="60"/>
        <item x="11"/>
        <item x="154"/>
        <item x="95"/>
        <item x="91"/>
        <item x="170"/>
        <item x="138"/>
        <item x="92"/>
        <item x="101"/>
        <item x="72"/>
        <item x="149"/>
        <item x="140"/>
        <item x="46"/>
        <item x="151"/>
        <item x="4"/>
        <item x="147"/>
        <item x="22"/>
        <item x="18"/>
        <item x="67"/>
        <item x="28"/>
        <item x="78"/>
        <item x="42"/>
        <item x="100"/>
        <item x="115"/>
        <item x="144"/>
        <item x="132"/>
        <item x="145"/>
        <item x="68"/>
        <item x="153"/>
        <item x="55"/>
        <item x="96"/>
        <item x="103"/>
        <item x="142"/>
        <item x="171"/>
        <item x="9"/>
        <item x="124"/>
        <item x="111"/>
        <item x="112"/>
        <item x="98"/>
        <item x="1"/>
        <item x="109"/>
        <item x="90"/>
        <item x="172"/>
        <item x="52"/>
        <item x="30"/>
        <item x="93"/>
        <item x="38"/>
        <item x="59"/>
        <item x="64"/>
        <item x="70"/>
        <item x="39"/>
        <item x="32"/>
        <item x="135"/>
        <item x="129"/>
        <item x="86"/>
        <item x="12"/>
        <item x="35"/>
        <item x="97"/>
        <item x="63"/>
        <item x="45"/>
        <item x="110"/>
        <item x="118"/>
        <item x="25"/>
        <item x="148"/>
        <item x="113"/>
        <item x="139"/>
        <item x="41"/>
        <item x="21"/>
        <item x="8"/>
        <item x="167"/>
        <item x="15"/>
        <item x="106"/>
        <item x="163"/>
        <item x="10"/>
        <item x="169"/>
        <item x="51"/>
        <item x="62"/>
        <item x="56"/>
        <item x="2"/>
        <item x="82"/>
        <item x="127"/>
        <item x="87"/>
        <item x="166"/>
        <item x="0"/>
        <item x="85"/>
        <item x="7"/>
        <item x="88"/>
        <item x="159"/>
        <item x="66"/>
        <item x="40"/>
        <item x="80"/>
        <item x="128"/>
        <item x="130"/>
        <item x="34"/>
        <item x="120"/>
        <item x="117"/>
        <item x="76"/>
        <item x="136"/>
        <item x="122"/>
        <item x="121"/>
        <item x="162"/>
        <item x="84"/>
        <item x="77"/>
        <item x="48"/>
        <item x="71"/>
        <item x="79"/>
        <item x="75"/>
        <item x="16"/>
        <item x="49"/>
        <item x="134"/>
        <item x="20"/>
        <item x="114"/>
        <item x="105"/>
        <item x="50"/>
        <item x="126"/>
        <item x="150"/>
        <item x="6"/>
        <item x="146"/>
        <item x="13"/>
        <item x="125"/>
        <item x="31"/>
        <item x="58"/>
        <item x="36"/>
        <item x="143"/>
        <item x="131"/>
        <item x="164"/>
        <item x="74"/>
        <item x="23"/>
        <item x="160"/>
        <item t="default"/>
      </items>
    </pivotField>
    <pivotField numFmtId="1" showAll="0">
      <items count="123">
        <item x="14"/>
        <item x="25"/>
        <item x="45"/>
        <item x="37"/>
        <item x="5"/>
        <item x="47"/>
        <item x="51"/>
        <item x="27"/>
        <item x="68"/>
        <item x="40"/>
        <item x="3"/>
        <item x="64"/>
        <item x="32"/>
        <item x="22"/>
        <item x="88"/>
        <item x="23"/>
        <item x="4"/>
        <item x="57"/>
        <item x="24"/>
        <item x="108"/>
        <item x="35"/>
        <item x="58"/>
        <item x="106"/>
        <item x="82"/>
        <item x="54"/>
        <item x="36"/>
        <item x="109"/>
        <item x="11"/>
        <item x="107"/>
        <item x="110"/>
        <item x="56"/>
        <item x="50"/>
        <item x="19"/>
        <item x="100"/>
        <item x="34"/>
        <item x="112"/>
        <item x="77"/>
        <item x="83"/>
        <item x="121"/>
        <item x="7"/>
        <item x="102"/>
        <item x="9"/>
        <item x="80"/>
        <item x="92"/>
        <item x="0"/>
        <item x="39"/>
        <item x="1"/>
        <item x="15"/>
        <item x="79"/>
        <item x="87"/>
        <item x="74"/>
        <item x="96"/>
        <item x="84"/>
        <item x="120"/>
        <item x="75"/>
        <item x="31"/>
        <item x="66"/>
        <item x="38"/>
        <item x="21"/>
        <item x="49"/>
        <item x="29"/>
        <item x="55"/>
        <item x="116"/>
        <item x="97"/>
        <item x="95"/>
        <item x="12"/>
        <item x="8"/>
        <item x="70"/>
        <item x="76"/>
        <item x="10"/>
        <item x="111"/>
        <item x="16"/>
        <item x="44"/>
        <item x="103"/>
        <item x="85"/>
        <item x="43"/>
        <item x="52"/>
        <item x="59"/>
        <item x="42"/>
        <item x="104"/>
        <item x="73"/>
        <item x="71"/>
        <item x="119"/>
        <item x="46"/>
        <item x="67"/>
        <item x="72"/>
        <item x="81"/>
        <item x="33"/>
        <item x="2"/>
        <item x="86"/>
        <item x="53"/>
        <item x="118"/>
        <item x="26"/>
        <item x="117"/>
        <item x="18"/>
        <item x="115"/>
        <item x="113"/>
        <item x="89"/>
        <item x="98"/>
        <item x="91"/>
        <item x="90"/>
        <item x="41"/>
        <item x="61"/>
        <item x="69"/>
        <item x="94"/>
        <item x="17"/>
        <item x="101"/>
        <item x="65"/>
        <item x="28"/>
        <item x="62"/>
        <item x="48"/>
        <item x="63"/>
        <item x="13"/>
        <item x="6"/>
        <item x="78"/>
        <item x="99"/>
        <item x="105"/>
        <item x="93"/>
        <item x="30"/>
        <item x="20"/>
        <item x="60"/>
        <item x="114"/>
        <item t="default"/>
      </items>
    </pivotField>
    <pivotField numFmtId="1" showAll="0">
      <items count="39">
        <item x="3"/>
        <item x="4"/>
        <item x="16"/>
        <item x="15"/>
        <item x="7"/>
        <item x="20"/>
        <item x="1"/>
        <item x="11"/>
        <item x="2"/>
        <item x="31"/>
        <item x="0"/>
        <item x="12"/>
        <item x="30"/>
        <item x="9"/>
        <item x="27"/>
        <item x="18"/>
        <item x="34"/>
        <item x="17"/>
        <item x="28"/>
        <item x="21"/>
        <item x="32"/>
        <item x="6"/>
        <item x="19"/>
        <item x="22"/>
        <item x="24"/>
        <item x="8"/>
        <item x="13"/>
        <item x="35"/>
        <item x="26"/>
        <item x="5"/>
        <item x="25"/>
        <item x="36"/>
        <item x="29"/>
        <item x="14"/>
        <item x="33"/>
        <item x="10"/>
        <item x="23"/>
        <item x="37"/>
        <item t="default"/>
      </items>
    </pivotField>
    <pivotField numFmtId="1" showAll="0">
      <items count="104">
        <item x="3"/>
        <item x="14"/>
        <item x="21"/>
        <item x="98"/>
        <item x="24"/>
        <item x="4"/>
        <item x="20"/>
        <item x="26"/>
        <item x="93"/>
        <item x="17"/>
        <item x="13"/>
        <item x="88"/>
        <item x="58"/>
        <item x="0"/>
        <item x="62"/>
        <item x="22"/>
        <item x="59"/>
        <item x="67"/>
        <item x="90"/>
        <item x="101"/>
        <item x="8"/>
        <item x="81"/>
        <item x="37"/>
        <item x="89"/>
        <item x="85"/>
        <item x="80"/>
        <item x="92"/>
        <item x="1"/>
        <item x="12"/>
        <item x="83"/>
        <item x="32"/>
        <item x="28"/>
        <item x="33"/>
        <item x="30"/>
        <item x="54"/>
        <item x="87"/>
        <item x="23"/>
        <item x="44"/>
        <item x="50"/>
        <item x="73"/>
        <item x="66"/>
        <item x="45"/>
        <item x="36"/>
        <item x="7"/>
        <item x="51"/>
        <item x="78"/>
        <item x="76"/>
        <item x="38"/>
        <item x="84"/>
        <item x="60"/>
        <item x="31"/>
        <item x="6"/>
        <item x="29"/>
        <item x="91"/>
        <item x="100"/>
        <item x="40"/>
        <item x="63"/>
        <item x="19"/>
        <item x="65"/>
        <item x="41"/>
        <item x="39"/>
        <item x="55"/>
        <item x="77"/>
        <item x="42"/>
        <item x="15"/>
        <item x="96"/>
        <item x="97"/>
        <item x="75"/>
        <item x="52"/>
        <item x="16"/>
        <item x="10"/>
        <item x="102"/>
        <item x="9"/>
        <item x="99"/>
        <item x="68"/>
        <item x="61"/>
        <item x="56"/>
        <item x="2"/>
        <item x="57"/>
        <item x="69"/>
        <item x="43"/>
        <item x="72"/>
        <item x="94"/>
        <item x="35"/>
        <item x="47"/>
        <item x="34"/>
        <item x="70"/>
        <item x="11"/>
        <item x="53"/>
        <item x="25"/>
        <item x="49"/>
        <item x="48"/>
        <item x="5"/>
        <item x="82"/>
        <item x="79"/>
        <item x="71"/>
        <item x="74"/>
        <item x="64"/>
        <item x="86"/>
        <item x="27"/>
        <item x="95"/>
        <item x="46"/>
        <item x="18"/>
        <item t="default"/>
      </items>
    </pivotField>
    <pivotField numFmtId="2" showAll="0">
      <items count="146">
        <item x="19"/>
        <item x="119"/>
        <item x="110"/>
        <item x="136"/>
        <item x="28"/>
        <item x="22"/>
        <item x="12"/>
        <item x="124"/>
        <item x="98"/>
        <item x="88"/>
        <item x="59"/>
        <item x="105"/>
        <item x="68"/>
        <item x="140"/>
        <item x="138"/>
        <item x="40"/>
        <item x="62"/>
        <item x="97"/>
        <item x="55"/>
        <item x="78"/>
        <item x="39"/>
        <item x="73"/>
        <item x="15"/>
        <item x="130"/>
        <item x="141"/>
        <item x="77"/>
        <item x="29"/>
        <item x="115"/>
        <item x="8"/>
        <item x="46"/>
        <item x="85"/>
        <item x="75"/>
        <item x="32"/>
        <item x="13"/>
        <item x="63"/>
        <item x="10"/>
        <item x="57"/>
        <item x="52"/>
        <item x="96"/>
        <item x="129"/>
        <item x="95"/>
        <item x="53"/>
        <item x="79"/>
        <item x="114"/>
        <item x="112"/>
        <item x="50"/>
        <item x="37"/>
        <item x="27"/>
        <item x="132"/>
        <item x="86"/>
        <item x="43"/>
        <item x="6"/>
        <item x="7"/>
        <item x="18"/>
        <item x="116"/>
        <item x="122"/>
        <item x="133"/>
        <item x="102"/>
        <item x="121"/>
        <item x="24"/>
        <item x="65"/>
        <item x="117"/>
        <item x="69"/>
        <item x="30"/>
        <item x="38"/>
        <item x="107"/>
        <item x="83"/>
        <item x="44"/>
        <item x="137"/>
        <item x="56"/>
        <item x="135"/>
        <item x="80"/>
        <item x="90"/>
        <item x="82"/>
        <item x="34"/>
        <item x="87"/>
        <item x="49"/>
        <item x="104"/>
        <item x="21"/>
        <item x="41"/>
        <item x="11"/>
        <item x="91"/>
        <item x="66"/>
        <item x="1"/>
        <item x="144"/>
        <item x="100"/>
        <item x="76"/>
        <item x="93"/>
        <item x="25"/>
        <item x="51"/>
        <item x="36"/>
        <item x="109"/>
        <item x="42"/>
        <item x="94"/>
        <item x="9"/>
        <item x="5"/>
        <item x="0"/>
        <item x="23"/>
        <item x="118"/>
        <item x="20"/>
        <item x="108"/>
        <item x="61"/>
        <item x="81"/>
        <item x="71"/>
        <item x="131"/>
        <item x="2"/>
        <item x="17"/>
        <item x="4"/>
        <item x="58"/>
        <item x="45"/>
        <item x="103"/>
        <item x="106"/>
        <item x="60"/>
        <item x="111"/>
        <item x="26"/>
        <item x="89"/>
        <item x="48"/>
        <item x="64"/>
        <item x="35"/>
        <item x="134"/>
        <item x="70"/>
        <item x="120"/>
        <item x="3"/>
        <item x="127"/>
        <item x="128"/>
        <item x="113"/>
        <item x="101"/>
        <item x="84"/>
        <item x="125"/>
        <item x="14"/>
        <item x="72"/>
        <item x="47"/>
        <item x="126"/>
        <item x="31"/>
        <item x="33"/>
        <item x="142"/>
        <item x="123"/>
        <item x="92"/>
        <item x="99"/>
        <item x="67"/>
        <item x="54"/>
        <item x="74"/>
        <item x="16"/>
        <item x="139"/>
        <item x="143"/>
        <item t="default"/>
      </items>
    </pivotField>
    <pivotField numFmtId="2" showAll="0">
      <items count="178">
        <item x="32"/>
        <item x="115"/>
        <item x="167"/>
        <item x="113"/>
        <item x="22"/>
        <item x="74"/>
        <item x="125"/>
        <item x="176"/>
        <item x="63"/>
        <item x="96"/>
        <item x="11"/>
        <item x="41"/>
        <item x="94"/>
        <item x="4"/>
        <item x="39"/>
        <item x="16"/>
        <item x="54"/>
        <item x="111"/>
        <item x="20"/>
        <item x="163"/>
        <item x="128"/>
        <item x="67"/>
        <item x="33"/>
        <item x="142"/>
        <item x="172"/>
        <item x="157"/>
        <item x="61"/>
        <item x="52"/>
        <item x="71"/>
        <item x="82"/>
        <item x="51"/>
        <item x="6"/>
        <item x="87"/>
        <item x="58"/>
        <item x="93"/>
        <item x="119"/>
        <item x="57"/>
        <item x="101"/>
        <item x="72"/>
        <item x="21"/>
        <item x="50"/>
        <item x="147"/>
        <item x="174"/>
        <item x="150"/>
        <item x="37"/>
        <item x="53"/>
        <item x="134"/>
        <item x="152"/>
        <item x="25"/>
        <item x="17"/>
        <item x="88"/>
        <item x="120"/>
        <item x="169"/>
        <item x="151"/>
        <item x="95"/>
        <item x="165"/>
        <item x="13"/>
        <item x="132"/>
        <item x="1"/>
        <item x="124"/>
        <item x="78"/>
        <item x="18"/>
        <item x="73"/>
        <item x="148"/>
        <item x="8"/>
        <item x="175"/>
        <item x="170"/>
        <item x="153"/>
        <item x="90"/>
        <item x="126"/>
        <item x="77"/>
        <item x="86"/>
        <item x="40"/>
        <item x="100"/>
        <item x="30"/>
        <item x="62"/>
        <item x="42"/>
        <item x="141"/>
        <item x="29"/>
        <item x="59"/>
        <item x="2"/>
        <item x="80"/>
        <item x="159"/>
        <item x="0"/>
        <item x="109"/>
        <item x="127"/>
        <item x="130"/>
        <item x="84"/>
        <item x="7"/>
        <item x="69"/>
        <item x="55"/>
        <item x="117"/>
        <item x="114"/>
        <item x="46"/>
        <item x="133"/>
        <item x="143"/>
        <item x="122"/>
        <item x="145"/>
        <item x="75"/>
        <item x="106"/>
        <item x="137"/>
        <item x="5"/>
        <item x="103"/>
        <item x="23"/>
        <item x="129"/>
        <item x="104"/>
        <item x="99"/>
        <item x="10"/>
        <item x="108"/>
        <item x="168"/>
        <item x="112"/>
        <item x="161"/>
        <item x="28"/>
        <item x="173"/>
        <item x="98"/>
        <item x="45"/>
        <item x="43"/>
        <item x="64"/>
        <item x="140"/>
        <item x="146"/>
        <item x="156"/>
        <item x="27"/>
        <item x="83"/>
        <item x="26"/>
        <item x="171"/>
        <item x="139"/>
        <item x="31"/>
        <item x="14"/>
        <item x="89"/>
        <item x="92"/>
        <item x="160"/>
        <item x="19"/>
        <item x="79"/>
        <item x="164"/>
        <item x="34"/>
        <item x="123"/>
        <item x="135"/>
        <item x="85"/>
        <item x="3"/>
        <item x="66"/>
        <item x="70"/>
        <item x="166"/>
        <item x="9"/>
        <item x="154"/>
        <item x="110"/>
        <item x="144"/>
        <item x="15"/>
        <item x="81"/>
        <item x="118"/>
        <item x="36"/>
        <item x="12"/>
        <item x="149"/>
        <item x="47"/>
        <item x="136"/>
        <item x="65"/>
        <item x="35"/>
        <item x="38"/>
        <item x="162"/>
        <item x="44"/>
        <item x="68"/>
        <item x="60"/>
        <item x="138"/>
        <item x="97"/>
        <item x="158"/>
        <item x="56"/>
        <item x="105"/>
        <item x="91"/>
        <item x="155"/>
        <item x="121"/>
        <item x="107"/>
        <item x="102"/>
        <item x="131"/>
        <item x="116"/>
        <item x="24"/>
        <item x="76"/>
        <item x="48"/>
        <item x="49"/>
        <item t="default"/>
      </items>
    </pivotField>
    <pivotField showAll="0">
      <items count="156">
        <item x="19"/>
        <item x="127"/>
        <item x="119"/>
        <item x="143"/>
        <item x="28"/>
        <item x="105"/>
        <item x="12"/>
        <item x="122"/>
        <item x="133"/>
        <item x="69"/>
        <item x="60"/>
        <item x="96"/>
        <item x="145"/>
        <item x="112"/>
        <item x="63"/>
        <item x="83"/>
        <item x="15"/>
        <item x="41"/>
        <item x="137"/>
        <item x="148"/>
        <item x="56"/>
        <item x="79"/>
        <item x="80"/>
        <item x="47"/>
        <item x="90"/>
        <item x="124"/>
        <item x="97"/>
        <item x="77"/>
        <item x="29"/>
        <item x="95"/>
        <item x="93"/>
        <item x="149"/>
        <item x="115"/>
        <item x="136"/>
        <item x="128"/>
        <item x="58"/>
        <item x="75"/>
        <item x="8"/>
        <item x="10"/>
        <item x="139"/>
        <item x="103"/>
        <item x="27"/>
        <item x="150"/>
        <item x="37"/>
        <item x="24"/>
        <item x="121"/>
        <item x="44"/>
        <item x="131"/>
        <item x="92"/>
        <item x="13"/>
        <item x="113"/>
        <item x="130"/>
        <item x="134"/>
        <item x="7"/>
        <item x="30"/>
        <item x="34"/>
        <item x="111"/>
        <item x="85"/>
        <item x="86"/>
        <item x="125"/>
        <item x="40"/>
        <item x="22"/>
        <item x="64"/>
        <item x="45"/>
        <item x="52"/>
        <item x="98"/>
        <item x="18"/>
        <item x="70"/>
        <item x="42"/>
        <item x="53"/>
        <item x="48"/>
        <item x="66"/>
        <item x="81"/>
        <item x="39"/>
        <item x="147"/>
        <item x="43"/>
        <item x="114"/>
        <item x="32"/>
        <item x="101"/>
        <item x="9"/>
        <item x="6"/>
        <item x="141"/>
        <item x="107"/>
        <item x="144"/>
        <item x="78"/>
        <item x="82"/>
        <item x="5"/>
        <item x="100"/>
        <item x="109"/>
        <item x="23"/>
        <item x="54"/>
        <item x="59"/>
        <item x="46"/>
        <item x="91"/>
        <item x="153"/>
        <item x="126"/>
        <item x="0"/>
        <item x="118"/>
        <item x="1"/>
        <item x="62"/>
        <item x="102"/>
        <item x="26"/>
        <item x="73"/>
        <item x="35"/>
        <item x="21"/>
        <item x="94"/>
        <item x="129"/>
        <item x="51"/>
        <item x="84"/>
        <item x="2"/>
        <item x="25"/>
        <item x="72"/>
        <item x="140"/>
        <item x="123"/>
        <item x="135"/>
        <item x="3"/>
        <item x="38"/>
        <item x="154"/>
        <item x="36"/>
        <item x="108"/>
        <item x="116"/>
        <item x="117"/>
        <item x="14"/>
        <item x="74"/>
        <item x="17"/>
        <item x="104"/>
        <item x="71"/>
        <item x="110"/>
        <item x="120"/>
        <item x="33"/>
        <item x="87"/>
        <item x="65"/>
        <item x="89"/>
        <item x="88"/>
        <item x="142"/>
        <item x="138"/>
        <item x="11"/>
        <item x="57"/>
        <item x="20"/>
        <item x="151"/>
        <item x="50"/>
        <item x="99"/>
        <item x="61"/>
        <item x="49"/>
        <item x="4"/>
        <item x="76"/>
        <item x="68"/>
        <item x="132"/>
        <item x="67"/>
        <item x="55"/>
        <item x="16"/>
        <item x="152"/>
        <item x="146"/>
        <item x="106"/>
        <item x="31"/>
        <item t="default"/>
      </items>
    </pivotField>
    <pivotField dataField="1" numFmtId="1" showAll="0">
      <items count="184">
        <item x="179"/>
        <item x="75"/>
        <item x="68"/>
        <item x="139"/>
        <item x="49"/>
        <item x="94"/>
        <item x="69"/>
        <item x="164"/>
        <item x="59"/>
        <item x="17"/>
        <item x="140"/>
        <item x="5"/>
        <item x="100"/>
        <item x="19"/>
        <item x="14"/>
        <item x="146"/>
        <item x="113"/>
        <item x="63"/>
        <item x="166"/>
        <item x="24"/>
        <item x="30"/>
        <item x="11"/>
        <item x="55"/>
        <item x="114"/>
        <item x="28"/>
        <item x="38"/>
        <item x="73"/>
        <item x="27"/>
        <item x="110"/>
        <item x="97"/>
        <item x="177"/>
        <item x="160"/>
        <item x="162"/>
        <item x="22"/>
        <item x="108"/>
        <item x="141"/>
        <item x="142"/>
        <item x="4"/>
        <item x="165"/>
        <item x="86"/>
        <item x="3"/>
        <item x="34"/>
        <item x="45"/>
        <item x="64"/>
        <item x="174"/>
        <item x="26"/>
        <item x="170"/>
        <item x="157"/>
        <item x="123"/>
        <item x="98"/>
        <item x="95"/>
        <item x="88"/>
        <item x="118"/>
        <item x="167"/>
        <item x="117"/>
        <item x="121"/>
        <item x="18"/>
        <item x="180"/>
        <item x="138"/>
        <item x="147"/>
        <item x="182"/>
        <item x="57"/>
        <item x="78"/>
        <item x="101"/>
        <item x="72"/>
        <item x="149"/>
        <item x="99"/>
        <item x="56"/>
        <item x="29"/>
        <item x="115"/>
        <item x="153"/>
        <item x="44"/>
        <item x="107"/>
        <item x="155"/>
        <item x="39"/>
        <item x="96"/>
        <item x="104"/>
        <item x="106"/>
        <item x="54"/>
        <item x="150"/>
        <item x="122"/>
        <item x="163"/>
        <item x="181"/>
        <item x="130"/>
        <item x="67"/>
        <item x="1"/>
        <item x="77"/>
        <item x="43"/>
        <item x="33"/>
        <item x="48"/>
        <item x="102"/>
        <item x="91"/>
        <item x="109"/>
        <item x="62"/>
        <item x="71"/>
        <item x="161"/>
        <item x="74"/>
        <item x="103"/>
        <item x="60"/>
        <item x="40"/>
        <item x="21"/>
        <item x="105"/>
        <item x="178"/>
        <item x="25"/>
        <item x="144"/>
        <item x="126"/>
        <item x="125"/>
        <item x="58"/>
        <item x="156"/>
        <item x="41"/>
        <item x="53"/>
        <item x="176"/>
        <item x="8"/>
        <item x="47"/>
        <item x="90"/>
        <item x="152"/>
        <item x="46"/>
        <item x="42"/>
        <item x="31"/>
        <item x="175"/>
        <item x="116"/>
        <item x="119"/>
        <item x="9"/>
        <item x="112"/>
        <item x="145"/>
        <item x="2"/>
        <item x="87"/>
        <item x="83"/>
        <item x="93"/>
        <item x="10"/>
        <item x="66"/>
        <item x="159"/>
        <item x="76"/>
        <item x="7"/>
        <item x="0"/>
        <item x="12"/>
        <item x="124"/>
        <item x="136"/>
        <item x="70"/>
        <item x="133"/>
        <item x="148"/>
        <item x="134"/>
        <item x="84"/>
        <item x="120"/>
        <item x="50"/>
        <item x="129"/>
        <item x="172"/>
        <item x="92"/>
        <item x="171"/>
        <item x="20"/>
        <item x="16"/>
        <item x="15"/>
        <item x="127"/>
        <item x="132"/>
        <item x="89"/>
        <item x="51"/>
        <item x="158"/>
        <item x="36"/>
        <item x="80"/>
        <item x="52"/>
        <item x="82"/>
        <item x="135"/>
        <item x="32"/>
        <item x="6"/>
        <item x="65"/>
        <item x="37"/>
        <item x="13"/>
        <item x="61"/>
        <item x="168"/>
        <item x="85"/>
        <item x="143"/>
        <item x="154"/>
        <item x="128"/>
        <item x="81"/>
        <item x="173"/>
        <item x="35"/>
        <item x="111"/>
        <item x="131"/>
        <item x="151"/>
        <item x="137"/>
        <item x="79"/>
        <item x="23"/>
        <item x="169"/>
        <item t="default"/>
      </items>
    </pivotField>
    <pivotField dataField="1" numFmtId="1" showAll="0">
      <items count="163">
        <item x="82"/>
        <item x="24"/>
        <item x="64"/>
        <item x="105"/>
        <item x="14"/>
        <item x="67"/>
        <item x="132"/>
        <item x="104"/>
        <item x="17"/>
        <item x="19"/>
        <item x="5"/>
        <item x="146"/>
        <item x="53"/>
        <item x="52"/>
        <item x="72"/>
        <item x="37"/>
        <item x="44"/>
        <item x="3"/>
        <item x="100"/>
        <item x="88"/>
        <item x="33"/>
        <item x="26"/>
        <item x="99"/>
        <item x="47"/>
        <item x="118"/>
        <item x="80"/>
        <item x="148"/>
        <item x="32"/>
        <item x="68"/>
        <item x="29"/>
        <item x="27"/>
        <item x="56"/>
        <item x="153"/>
        <item x="91"/>
        <item x="135"/>
        <item x="93"/>
        <item x="150"/>
        <item x="140"/>
        <item x="43"/>
        <item x="149"/>
        <item x="138"/>
        <item x="60"/>
        <item x="97"/>
        <item x="71"/>
        <item x="128"/>
        <item x="77"/>
        <item x="134"/>
        <item x="156"/>
        <item x="90"/>
        <item x="145"/>
        <item x="18"/>
        <item x="108"/>
        <item x="4"/>
        <item x="11"/>
        <item x="59"/>
        <item x="63"/>
        <item x="22"/>
        <item x="127"/>
        <item x="28"/>
        <item x="101"/>
        <item x="69"/>
        <item x="112"/>
        <item x="46"/>
        <item x="147"/>
        <item x="38"/>
        <item x="98"/>
        <item x="137"/>
        <item x="39"/>
        <item x="142"/>
        <item x="141"/>
        <item x="66"/>
        <item x="54"/>
        <item x="109"/>
        <item x="42"/>
        <item x="96"/>
        <item x="94"/>
        <item x="106"/>
        <item x="1"/>
        <item x="0"/>
        <item x="58"/>
        <item x="119"/>
        <item x="9"/>
        <item x="130"/>
        <item x="144"/>
        <item x="92"/>
        <item x="110"/>
        <item x="30"/>
        <item x="114"/>
        <item x="89"/>
        <item x="161"/>
        <item x="15"/>
        <item x="35"/>
        <item x="160"/>
        <item x="111"/>
        <item x="41"/>
        <item x="143"/>
        <item x="45"/>
        <item x="123"/>
        <item x="85"/>
        <item x="79"/>
        <item x="25"/>
        <item x="159"/>
        <item x="154"/>
        <item x="21"/>
        <item x="103"/>
        <item x="16"/>
        <item x="7"/>
        <item x="95"/>
        <item x="12"/>
        <item x="10"/>
        <item x="124"/>
        <item x="133"/>
        <item x="51"/>
        <item x="8"/>
        <item x="131"/>
        <item x="122"/>
        <item x="107"/>
        <item x="31"/>
        <item x="158"/>
        <item x="61"/>
        <item x="113"/>
        <item x="157"/>
        <item x="50"/>
        <item x="84"/>
        <item x="2"/>
        <item x="40"/>
        <item x="55"/>
        <item x="86"/>
        <item x="155"/>
        <item x="70"/>
        <item x="62"/>
        <item x="81"/>
        <item x="87"/>
        <item x="65"/>
        <item x="57"/>
        <item x="151"/>
        <item x="49"/>
        <item x="117"/>
        <item x="139"/>
        <item x="125"/>
        <item x="116"/>
        <item x="115"/>
        <item x="20"/>
        <item x="48"/>
        <item x="83"/>
        <item x="78"/>
        <item x="74"/>
        <item x="121"/>
        <item x="34"/>
        <item x="129"/>
        <item x="75"/>
        <item x="76"/>
        <item x="13"/>
        <item x="120"/>
        <item x="6"/>
        <item x="126"/>
        <item x="102"/>
        <item x="36"/>
        <item x="136"/>
        <item x="23"/>
        <item x="73"/>
        <item x="152"/>
        <item t="default"/>
      </items>
    </pivotField>
    <pivotField numFmtId="2" showAll="0">
      <items count="170">
        <item x="82"/>
        <item x="23"/>
        <item x="114"/>
        <item x="67"/>
        <item x="103"/>
        <item x="77"/>
        <item x="53"/>
        <item x="79"/>
        <item x="107"/>
        <item x="47"/>
        <item x="56"/>
        <item x="72"/>
        <item x="119"/>
        <item x="32"/>
        <item x="98"/>
        <item x="35"/>
        <item x="154"/>
        <item x="100"/>
        <item x="14"/>
        <item x="161"/>
        <item x="151"/>
        <item x="61"/>
        <item x="0"/>
        <item x="143"/>
        <item x="44"/>
        <item x="89"/>
        <item x="46"/>
        <item x="128"/>
        <item x="116"/>
        <item x="113"/>
        <item x="71"/>
        <item x="3"/>
        <item x="26"/>
        <item x="148"/>
        <item x="145"/>
        <item x="147"/>
        <item x="157"/>
        <item x="57"/>
        <item x="121"/>
        <item x="31"/>
        <item x="25"/>
        <item x="160"/>
        <item x="43"/>
        <item x="101"/>
        <item x="15"/>
        <item x="94"/>
        <item x="33"/>
        <item x="13"/>
        <item x="149"/>
        <item x="133"/>
        <item x="69"/>
        <item x="9"/>
        <item x="139"/>
        <item x="146"/>
        <item x="132"/>
        <item x="166"/>
        <item x="34"/>
        <item x="153"/>
        <item x="50"/>
        <item x="39"/>
        <item x="102"/>
        <item x="112"/>
        <item x="130"/>
        <item x="88"/>
        <item x="63"/>
        <item x="92"/>
        <item x="80"/>
        <item x="159"/>
        <item x="138"/>
        <item x="52"/>
        <item x="140"/>
        <item x="30"/>
        <item x="37"/>
        <item x="135"/>
        <item x="75"/>
        <item x="106"/>
        <item x="142"/>
        <item x="7"/>
        <item x="66"/>
        <item x="127"/>
        <item x="64"/>
        <item x="86"/>
        <item x="156"/>
        <item x="49"/>
        <item x="125"/>
        <item x="12"/>
        <item x="136"/>
        <item x="10"/>
        <item x="115"/>
        <item x="41"/>
        <item x="60"/>
        <item x="105"/>
        <item x="18"/>
        <item x="45"/>
        <item x="141"/>
        <item x="118"/>
        <item x="17"/>
        <item x="117"/>
        <item x="155"/>
        <item x="42"/>
        <item x="58"/>
        <item x="158"/>
        <item x="95"/>
        <item x="38"/>
        <item x="99"/>
        <item x="28"/>
        <item x="120"/>
        <item x="110"/>
        <item x="122"/>
        <item x="162"/>
        <item x="5"/>
        <item x="104"/>
        <item x="137"/>
        <item x="74"/>
        <item x="70"/>
        <item x="83"/>
        <item x="22"/>
        <item x="131"/>
        <item x="68"/>
        <item x="134"/>
        <item x="65"/>
        <item x="19"/>
        <item x="1"/>
        <item x="27"/>
        <item x="2"/>
        <item x="62"/>
        <item x="76"/>
        <item x="48"/>
        <item x="109"/>
        <item x="24"/>
        <item x="126"/>
        <item x="165"/>
        <item x="16"/>
        <item x="129"/>
        <item x="144"/>
        <item x="81"/>
        <item x="124"/>
        <item x="97"/>
        <item x="87"/>
        <item x="78"/>
        <item x="8"/>
        <item x="51"/>
        <item x="163"/>
        <item x="20"/>
        <item x="36"/>
        <item x="85"/>
        <item x="54"/>
        <item x="4"/>
        <item x="6"/>
        <item x="73"/>
        <item x="152"/>
        <item x="164"/>
        <item x="84"/>
        <item x="29"/>
        <item x="108"/>
        <item x="90"/>
        <item x="96"/>
        <item x="167"/>
        <item x="111"/>
        <item x="40"/>
        <item x="150"/>
        <item x="91"/>
        <item x="21"/>
        <item x="55"/>
        <item x="93"/>
        <item x="168"/>
        <item x="11"/>
        <item x="59"/>
        <item x="123"/>
        <item t="default"/>
      </items>
    </pivotField>
    <pivotField axis="axisRow" showAll="0">
      <items count="7">
        <item x="2"/>
        <item x="3"/>
        <item x="0"/>
        <item x="1"/>
        <item x="5"/>
        <item x="4"/>
        <item t="default"/>
      </items>
    </pivotField>
  </pivotFields>
  <rowFields count="1">
    <field x="14"/>
  </rowFields>
  <rowItems count="7">
    <i>
      <x/>
    </i>
    <i>
      <x v="1"/>
    </i>
    <i>
      <x v="2"/>
    </i>
    <i>
      <x v="3"/>
    </i>
    <i>
      <x v="4"/>
    </i>
    <i>
      <x v="5"/>
    </i>
    <i t="grand">
      <x/>
    </i>
  </rowItems>
  <colFields count="1">
    <field x="-2"/>
  </colFields>
  <colItems count="2">
    <i>
      <x/>
    </i>
    <i i="1">
      <x v="1"/>
    </i>
  </colItems>
  <dataFields count="2">
    <dataField name="Sum of 1 week change" fld="12" baseField="0" baseItem="0"/>
    <dataField name="Sum of Confirmed last week" fld="11" baseField="0" baseItem="0"/>
  </dataFields>
  <chartFormats count="14">
    <chartFormat chart="39" format="0" series="1">
      <pivotArea type="data" outline="0" fieldPosition="0">
        <references count="1">
          <reference field="4294967294" count="1" selected="0">
            <x v="0"/>
          </reference>
        </references>
      </pivotArea>
    </chartFormat>
    <chartFormat chart="39" format="1" series="1">
      <pivotArea type="data" outline="0" fieldPosition="0">
        <references count="1">
          <reference field="4294967294" count="1" selected="0">
            <x v="1"/>
          </reference>
        </references>
      </pivotArea>
    </chartFormat>
    <chartFormat chart="42" format="4" series="1">
      <pivotArea type="data" outline="0" fieldPosition="0">
        <references count="1">
          <reference field="4294967294" count="1" selected="0">
            <x v="0"/>
          </reference>
        </references>
      </pivotArea>
    </chartFormat>
    <chartFormat chart="42" format="5" series="1">
      <pivotArea type="data" outline="0" fieldPosition="0">
        <references count="1">
          <reference field="4294967294" count="1" selected="0">
            <x v="1"/>
          </reference>
        </references>
      </pivotArea>
    </chartFormat>
    <chartFormat chart="42" format="6">
      <pivotArea type="data" outline="0" fieldPosition="0">
        <references count="2">
          <reference field="4294967294" count="1" selected="0">
            <x v="1"/>
          </reference>
          <reference field="14" count="1" selected="0">
            <x v="1"/>
          </reference>
        </references>
      </pivotArea>
    </chartFormat>
    <chartFormat chart="42" format="7">
      <pivotArea type="data" outline="0" fieldPosition="0">
        <references count="2">
          <reference field="4294967294" count="1" selected="0">
            <x v="1"/>
          </reference>
          <reference field="14" count="1" selected="0">
            <x v="3"/>
          </reference>
        </references>
      </pivotArea>
    </chartFormat>
    <chartFormat chart="42" format="8">
      <pivotArea type="data" outline="0" fieldPosition="0">
        <references count="2">
          <reference field="4294967294" count="1" selected="0">
            <x v="1"/>
          </reference>
          <reference field="14" count="1" selected="0">
            <x v="0"/>
          </reference>
        </references>
      </pivotArea>
    </chartFormat>
    <chartFormat chart="42" format="9">
      <pivotArea type="data" outline="0" fieldPosition="0">
        <references count="2">
          <reference field="4294967294" count="1" selected="0">
            <x v="0"/>
          </reference>
          <reference field="14" count="1" selected="0">
            <x v="0"/>
          </reference>
        </references>
      </pivotArea>
    </chartFormat>
    <chartFormat chart="42" format="10">
      <pivotArea type="data" outline="0" fieldPosition="0">
        <references count="2">
          <reference field="4294967294" count="1" selected="0">
            <x v="1"/>
          </reference>
          <reference field="14" count="1" selected="0">
            <x v="2"/>
          </reference>
        </references>
      </pivotArea>
    </chartFormat>
    <chartFormat chart="42" format="11">
      <pivotArea type="data" outline="0" fieldPosition="0">
        <references count="2">
          <reference field="4294967294" count="1" selected="0">
            <x v="0"/>
          </reference>
          <reference field="14" count="1" selected="0">
            <x v="2"/>
          </reference>
        </references>
      </pivotArea>
    </chartFormat>
    <chartFormat chart="42" format="12">
      <pivotArea type="data" outline="0" fieldPosition="0">
        <references count="2">
          <reference field="4294967294" count="1" selected="0">
            <x v="1"/>
          </reference>
          <reference field="14" count="1" selected="0">
            <x v="4"/>
          </reference>
        </references>
      </pivotArea>
    </chartFormat>
    <chartFormat chart="42" format="13">
      <pivotArea type="data" outline="0" fieldPosition="0">
        <references count="2">
          <reference field="4294967294" count="1" selected="0">
            <x v="1"/>
          </reference>
          <reference field="14" count="1" selected="0">
            <x v="5"/>
          </reference>
        </references>
      </pivotArea>
    </chartFormat>
    <chartFormat chart="42" format="14">
      <pivotArea type="data" outline="0" fieldPosition="0">
        <references count="2">
          <reference field="4294967294" count="1" selected="0">
            <x v="0"/>
          </reference>
          <reference field="14" count="1" selected="0">
            <x v="5"/>
          </reference>
        </references>
      </pivotArea>
    </chartFormat>
    <chartFormat chart="42" format="15">
      <pivotArea type="data" outline="0" fieldPosition="0">
        <references count="2">
          <reference field="4294967294" count="1" selected="0">
            <x v="0"/>
          </reference>
          <reference field="1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1518A26-8E4B-4B4B-870A-64572FEC191E}" name="PivotTable7"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location ref="A62:B69" firstHeaderRow="1" firstDataRow="1" firstDataCol="1"/>
  <pivotFields count="15">
    <pivotField showAll="0">
      <items count="1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4"/>
        <item x="175"/>
        <item x="176"/>
        <item x="177"/>
        <item x="178"/>
        <item x="173"/>
        <item x="179"/>
        <item x="180"/>
        <item x="181"/>
        <item x="182"/>
        <item x="183"/>
        <item x="184"/>
        <item x="185"/>
        <item x="186"/>
        <item t="default"/>
      </items>
    </pivotField>
    <pivotField numFmtId="1" showAll="0">
      <items count="185">
        <item x="180"/>
        <item x="75"/>
        <item x="68"/>
        <item x="139"/>
        <item x="49"/>
        <item x="94"/>
        <item x="69"/>
        <item x="140"/>
        <item x="59"/>
        <item x="17"/>
        <item x="141"/>
        <item x="129"/>
        <item x="5"/>
        <item x="19"/>
        <item x="14"/>
        <item x="147"/>
        <item x="112"/>
        <item x="24"/>
        <item x="168"/>
        <item x="30"/>
        <item x="55"/>
        <item x="113"/>
        <item x="63"/>
        <item x="109"/>
        <item x="27"/>
        <item x="38"/>
        <item x="28"/>
        <item x="11"/>
        <item x="73"/>
        <item x="179"/>
        <item x="163"/>
        <item x="97"/>
        <item x="165"/>
        <item x="162"/>
        <item x="142"/>
        <item x="107"/>
        <item x="22"/>
        <item x="86"/>
        <item x="143"/>
        <item x="167"/>
        <item x="3"/>
        <item x="34"/>
        <item x="4"/>
        <item x="45"/>
        <item x="26"/>
        <item x="172"/>
        <item x="122"/>
        <item x="64"/>
        <item x="98"/>
        <item x="88"/>
        <item x="176"/>
        <item x="95"/>
        <item x="169"/>
        <item x="159"/>
        <item x="120"/>
        <item x="181"/>
        <item x="116"/>
        <item x="18"/>
        <item x="148"/>
        <item x="117"/>
        <item x="78"/>
        <item x="138"/>
        <item x="72"/>
        <item x="100"/>
        <item x="56"/>
        <item x="151"/>
        <item x="150"/>
        <item x="155"/>
        <item x="57"/>
        <item x="29"/>
        <item x="106"/>
        <item x="44"/>
        <item x="183"/>
        <item x="157"/>
        <item x="99"/>
        <item x="114"/>
        <item x="54"/>
        <item x="152"/>
        <item x="39"/>
        <item x="166"/>
        <item x="105"/>
        <item x="121"/>
        <item x="103"/>
        <item x="96"/>
        <item x="67"/>
        <item x="77"/>
        <item x="130"/>
        <item x="182"/>
        <item x="33"/>
        <item x="1"/>
        <item x="43"/>
        <item x="48"/>
        <item x="108"/>
        <item x="101"/>
        <item x="71"/>
        <item x="62"/>
        <item x="164"/>
        <item x="74"/>
        <item x="60"/>
        <item x="91"/>
        <item x="40"/>
        <item x="104"/>
        <item x="125"/>
        <item x="102"/>
        <item x="145"/>
        <item x="124"/>
        <item x="21"/>
        <item x="25"/>
        <item x="158"/>
        <item x="47"/>
        <item x="154"/>
        <item x="58"/>
        <item x="53"/>
        <item x="8"/>
        <item x="46"/>
        <item x="42"/>
        <item x="41"/>
        <item x="178"/>
        <item x="31"/>
        <item x="90"/>
        <item x="118"/>
        <item x="9"/>
        <item x="115"/>
        <item x="177"/>
        <item x="111"/>
        <item x="146"/>
        <item x="83"/>
        <item x="2"/>
        <item x="10"/>
        <item x="87"/>
        <item x="93"/>
        <item x="66"/>
        <item x="161"/>
        <item x="0"/>
        <item x="7"/>
        <item x="12"/>
        <item x="76"/>
        <item x="123"/>
        <item x="133"/>
        <item x="70"/>
        <item x="136"/>
        <item x="134"/>
        <item x="149"/>
        <item x="119"/>
        <item x="174"/>
        <item x="128"/>
        <item x="84"/>
        <item x="50"/>
        <item x="92"/>
        <item x="16"/>
        <item x="173"/>
        <item x="15"/>
        <item x="20"/>
        <item x="126"/>
        <item x="160"/>
        <item x="51"/>
        <item x="132"/>
        <item x="89"/>
        <item x="36"/>
        <item x="52"/>
        <item x="80"/>
        <item x="135"/>
        <item x="82"/>
        <item x="32"/>
        <item x="6"/>
        <item x="65"/>
        <item x="61"/>
        <item x="13"/>
        <item x="170"/>
        <item x="85"/>
        <item x="37"/>
        <item x="144"/>
        <item x="156"/>
        <item x="127"/>
        <item x="81"/>
        <item x="175"/>
        <item x="35"/>
        <item x="131"/>
        <item x="110"/>
        <item x="153"/>
        <item x="137"/>
        <item x="79"/>
        <item x="23"/>
        <item x="171"/>
        <item t="default"/>
      </items>
    </pivotField>
    <pivotField numFmtId="1" showAll="0">
      <items count="151">
        <item x="19"/>
        <item x="26"/>
        <item x="17"/>
        <item x="5"/>
        <item x="96"/>
        <item x="115"/>
        <item x="25"/>
        <item x="14"/>
        <item x="56"/>
        <item x="92"/>
        <item x="68"/>
        <item x="11"/>
        <item x="83"/>
        <item x="117"/>
        <item x="91"/>
        <item x="57"/>
        <item x="137"/>
        <item x="41"/>
        <item x="64"/>
        <item x="136"/>
        <item x="27"/>
        <item x="131"/>
        <item x="63"/>
        <item x="122"/>
        <item x="123"/>
        <item x="82"/>
        <item x="51"/>
        <item x="18"/>
        <item x="149"/>
        <item x="134"/>
        <item x="4"/>
        <item x="116"/>
        <item x="107"/>
        <item x="62"/>
        <item x="128"/>
        <item x="98"/>
        <item x="55"/>
        <item x="138"/>
        <item x="49"/>
        <item x="3"/>
        <item x="24"/>
        <item x="35"/>
        <item x="44"/>
        <item x="30"/>
        <item x="135"/>
        <item x="85"/>
        <item x="121"/>
        <item x="50"/>
        <item x="84"/>
        <item x="31"/>
        <item x="146"/>
        <item x="86"/>
        <item x="40"/>
        <item x="88"/>
        <item x="125"/>
        <item x="38"/>
        <item x="89"/>
        <item x="100"/>
        <item x="87"/>
        <item x="37"/>
        <item x="124"/>
        <item x="144"/>
        <item x="90"/>
        <item x="39"/>
        <item x="148"/>
        <item x="12"/>
        <item x="1"/>
        <item x="145"/>
        <item x="93"/>
        <item x="65"/>
        <item x="112"/>
        <item x="8"/>
        <item x="59"/>
        <item x="79"/>
        <item x="119"/>
        <item x="60"/>
        <item x="36"/>
        <item x="52"/>
        <item x="103"/>
        <item x="78"/>
        <item x="21"/>
        <item x="127"/>
        <item x="97"/>
        <item x="53"/>
        <item x="142"/>
        <item x="23"/>
        <item x="42"/>
        <item x="28"/>
        <item x="104"/>
        <item x="48"/>
        <item x="10"/>
        <item x="80"/>
        <item x="102"/>
        <item x="74"/>
        <item x="147"/>
        <item x="15"/>
        <item x="120"/>
        <item x="77"/>
        <item x="67"/>
        <item x="43"/>
        <item x="7"/>
        <item x="9"/>
        <item x="130"/>
        <item x="95"/>
        <item x="101"/>
        <item x="76"/>
        <item x="45"/>
        <item x="2"/>
        <item x="66"/>
        <item x="0"/>
        <item x="81"/>
        <item x="106"/>
        <item x="141"/>
        <item x="110"/>
        <item x="111"/>
        <item x="61"/>
        <item x="73"/>
        <item x="109"/>
        <item x="133"/>
        <item x="113"/>
        <item x="20"/>
        <item x="118"/>
        <item x="13"/>
        <item x="6"/>
        <item x="72"/>
        <item x="47"/>
        <item x="33"/>
        <item x="70"/>
        <item x="46"/>
        <item x="139"/>
        <item x="132"/>
        <item x="105"/>
        <item x="99"/>
        <item x="126"/>
        <item x="34"/>
        <item x="29"/>
        <item x="58"/>
        <item x="32"/>
        <item x="16"/>
        <item x="114"/>
        <item x="71"/>
        <item x="108"/>
        <item x="129"/>
        <item x="54"/>
        <item x="69"/>
        <item x="75"/>
        <item x="94"/>
        <item x="143"/>
        <item x="22"/>
        <item x="140"/>
        <item t="default"/>
      </items>
    </pivotField>
    <pivotField numFmtId="1" showAll="0">
      <items count="179">
        <item x="32"/>
        <item x="174"/>
        <item x="127"/>
        <item x="73"/>
        <item x="67"/>
        <item x="137"/>
        <item x="49"/>
        <item x="92"/>
        <item x="138"/>
        <item x="68"/>
        <item x="17"/>
        <item x="139"/>
        <item x="22"/>
        <item x="5"/>
        <item x="62"/>
        <item x="98"/>
        <item x="19"/>
        <item x="11"/>
        <item x="14"/>
        <item x="115"/>
        <item x="111"/>
        <item x="95"/>
        <item x="24"/>
        <item x="30"/>
        <item x="71"/>
        <item x="159"/>
        <item x="117"/>
        <item x="55"/>
        <item x="112"/>
        <item x="4"/>
        <item x="27"/>
        <item x="28"/>
        <item x="38"/>
        <item x="108"/>
        <item x="172"/>
        <item x="157"/>
        <item x="177"/>
        <item x="97"/>
        <item x="161"/>
        <item x="96"/>
        <item x="140"/>
        <item x="106"/>
        <item x="84"/>
        <item x="141"/>
        <item x="3"/>
        <item x="113"/>
        <item x="34"/>
        <item x="39"/>
        <item x="175"/>
        <item x="54"/>
        <item x="45"/>
        <item x="63"/>
        <item x="155"/>
        <item x="26"/>
        <item x="169"/>
        <item x="136"/>
        <item x="165"/>
        <item x="57"/>
        <item x="120"/>
        <item x="18"/>
        <item x="86"/>
        <item x="93"/>
        <item x="162"/>
        <item x="151"/>
        <item x="144"/>
        <item x="66"/>
        <item x="168"/>
        <item x="118"/>
        <item x="148"/>
        <item x="33"/>
        <item x="29"/>
        <item x="146"/>
        <item x="99"/>
        <item x="102"/>
        <item x="94"/>
        <item x="147"/>
        <item x="76"/>
        <item x="105"/>
        <item x="56"/>
        <item x="153"/>
        <item x="44"/>
        <item x="119"/>
        <item x="104"/>
        <item x="1"/>
        <item x="176"/>
        <item x="128"/>
        <item x="160"/>
        <item x="75"/>
        <item x="173"/>
        <item x="41"/>
        <item x="43"/>
        <item x="89"/>
        <item x="72"/>
        <item x="107"/>
        <item x="61"/>
        <item x="100"/>
        <item x="21"/>
        <item x="48"/>
        <item x="74"/>
        <item x="122"/>
        <item x="25"/>
        <item x="40"/>
        <item x="154"/>
        <item x="158"/>
        <item x="70"/>
        <item x="101"/>
        <item x="58"/>
        <item x="143"/>
        <item x="59"/>
        <item x="53"/>
        <item x="88"/>
        <item x="103"/>
        <item x="123"/>
        <item x="8"/>
        <item x="171"/>
        <item x="42"/>
        <item x="46"/>
        <item x="170"/>
        <item x="47"/>
        <item x="150"/>
        <item x="116"/>
        <item x="31"/>
        <item x="110"/>
        <item x="114"/>
        <item x="16"/>
        <item x="121"/>
        <item x="9"/>
        <item x="2"/>
        <item x="91"/>
        <item x="20"/>
        <item x="85"/>
        <item x="10"/>
        <item x="81"/>
        <item x="0"/>
        <item x="134"/>
        <item x="130"/>
        <item x="7"/>
        <item x="82"/>
        <item x="65"/>
        <item x="50"/>
        <item x="156"/>
        <item x="69"/>
        <item x="131"/>
        <item x="52"/>
        <item x="51"/>
        <item x="126"/>
        <item x="132"/>
        <item x="12"/>
        <item x="166"/>
        <item x="145"/>
        <item x="167"/>
        <item x="87"/>
        <item x="90"/>
        <item x="124"/>
        <item x="78"/>
        <item x="15"/>
        <item x="6"/>
        <item x="80"/>
        <item x="36"/>
        <item x="60"/>
        <item x="133"/>
        <item x="13"/>
        <item x="37"/>
        <item x="152"/>
        <item x="64"/>
        <item x="83"/>
        <item x="163"/>
        <item x="142"/>
        <item x="125"/>
        <item x="79"/>
        <item x="129"/>
        <item x="149"/>
        <item x="109"/>
        <item x="35"/>
        <item x="135"/>
        <item x="77"/>
        <item x="164"/>
        <item x="23"/>
        <item t="default"/>
      </items>
    </pivotField>
    <pivotField numFmtId="1" showAll="0">
      <items count="174">
        <item x="24"/>
        <item x="65"/>
        <item x="104"/>
        <item x="94"/>
        <item x="107"/>
        <item x="14"/>
        <item x="157"/>
        <item x="19"/>
        <item x="152"/>
        <item x="5"/>
        <item x="37"/>
        <item x="17"/>
        <item x="73"/>
        <item x="47"/>
        <item x="102"/>
        <item x="116"/>
        <item x="33"/>
        <item x="54"/>
        <item x="123"/>
        <item x="3"/>
        <item x="168"/>
        <item x="108"/>
        <item x="53"/>
        <item x="137"/>
        <item x="27"/>
        <item x="29"/>
        <item x="43"/>
        <item x="133"/>
        <item x="26"/>
        <item x="83"/>
        <item x="119"/>
        <item x="155"/>
        <item x="81"/>
        <item x="161"/>
        <item x="89"/>
        <item x="57"/>
        <item x="99"/>
        <item x="69"/>
        <item x="44"/>
        <item x="61"/>
        <item x="165"/>
        <item x="141"/>
        <item x="158"/>
        <item x="156"/>
        <item x="60"/>
        <item x="11"/>
        <item x="154"/>
        <item x="95"/>
        <item x="91"/>
        <item x="170"/>
        <item x="138"/>
        <item x="92"/>
        <item x="101"/>
        <item x="72"/>
        <item x="149"/>
        <item x="140"/>
        <item x="46"/>
        <item x="151"/>
        <item x="4"/>
        <item x="147"/>
        <item x="22"/>
        <item x="18"/>
        <item x="67"/>
        <item x="28"/>
        <item x="78"/>
        <item x="42"/>
        <item x="100"/>
        <item x="115"/>
        <item x="144"/>
        <item x="132"/>
        <item x="145"/>
        <item x="68"/>
        <item x="153"/>
        <item x="55"/>
        <item x="96"/>
        <item x="103"/>
        <item x="142"/>
        <item x="171"/>
        <item x="9"/>
        <item x="124"/>
        <item x="111"/>
        <item x="112"/>
        <item x="98"/>
        <item x="1"/>
        <item x="109"/>
        <item x="90"/>
        <item x="172"/>
        <item x="52"/>
        <item x="30"/>
        <item x="93"/>
        <item x="38"/>
        <item x="59"/>
        <item x="64"/>
        <item x="70"/>
        <item x="39"/>
        <item x="32"/>
        <item x="135"/>
        <item x="129"/>
        <item x="86"/>
        <item x="12"/>
        <item x="35"/>
        <item x="97"/>
        <item x="63"/>
        <item x="45"/>
        <item x="110"/>
        <item x="118"/>
        <item x="25"/>
        <item x="148"/>
        <item x="113"/>
        <item x="139"/>
        <item x="41"/>
        <item x="21"/>
        <item x="8"/>
        <item x="167"/>
        <item x="15"/>
        <item x="106"/>
        <item x="163"/>
        <item x="10"/>
        <item x="169"/>
        <item x="51"/>
        <item x="62"/>
        <item x="56"/>
        <item x="2"/>
        <item x="82"/>
        <item x="127"/>
        <item x="87"/>
        <item x="166"/>
        <item x="0"/>
        <item x="85"/>
        <item x="7"/>
        <item x="88"/>
        <item x="159"/>
        <item x="66"/>
        <item x="40"/>
        <item x="80"/>
        <item x="128"/>
        <item x="130"/>
        <item x="34"/>
        <item x="120"/>
        <item x="117"/>
        <item x="76"/>
        <item x="136"/>
        <item x="122"/>
        <item x="121"/>
        <item x="162"/>
        <item x="84"/>
        <item x="77"/>
        <item x="48"/>
        <item x="71"/>
        <item x="79"/>
        <item x="75"/>
        <item x="16"/>
        <item x="49"/>
        <item x="134"/>
        <item x="20"/>
        <item x="114"/>
        <item x="105"/>
        <item x="50"/>
        <item x="126"/>
        <item x="150"/>
        <item x="6"/>
        <item x="146"/>
        <item x="13"/>
        <item x="125"/>
        <item x="31"/>
        <item x="58"/>
        <item x="36"/>
        <item x="143"/>
        <item x="131"/>
        <item x="164"/>
        <item x="74"/>
        <item x="23"/>
        <item x="160"/>
        <item t="default"/>
      </items>
    </pivotField>
    <pivotField numFmtId="1" showAll="0">
      <items count="123">
        <item x="14"/>
        <item x="25"/>
        <item x="45"/>
        <item x="37"/>
        <item x="5"/>
        <item x="47"/>
        <item x="51"/>
        <item x="27"/>
        <item x="68"/>
        <item x="40"/>
        <item x="3"/>
        <item x="64"/>
        <item x="32"/>
        <item x="22"/>
        <item x="88"/>
        <item x="23"/>
        <item x="4"/>
        <item x="57"/>
        <item x="24"/>
        <item x="108"/>
        <item x="35"/>
        <item x="58"/>
        <item x="106"/>
        <item x="82"/>
        <item x="54"/>
        <item x="36"/>
        <item x="109"/>
        <item x="11"/>
        <item x="107"/>
        <item x="110"/>
        <item x="56"/>
        <item x="50"/>
        <item x="19"/>
        <item x="100"/>
        <item x="34"/>
        <item x="112"/>
        <item x="77"/>
        <item x="83"/>
        <item x="121"/>
        <item x="7"/>
        <item x="102"/>
        <item x="9"/>
        <item x="80"/>
        <item x="92"/>
        <item x="0"/>
        <item x="39"/>
        <item x="1"/>
        <item x="15"/>
        <item x="79"/>
        <item x="87"/>
        <item x="74"/>
        <item x="96"/>
        <item x="84"/>
        <item x="120"/>
        <item x="75"/>
        <item x="31"/>
        <item x="66"/>
        <item x="38"/>
        <item x="21"/>
        <item x="49"/>
        <item x="29"/>
        <item x="55"/>
        <item x="116"/>
        <item x="97"/>
        <item x="95"/>
        <item x="12"/>
        <item x="8"/>
        <item x="70"/>
        <item x="76"/>
        <item x="10"/>
        <item x="111"/>
        <item x="16"/>
        <item x="44"/>
        <item x="103"/>
        <item x="85"/>
        <item x="43"/>
        <item x="52"/>
        <item x="59"/>
        <item x="42"/>
        <item x="104"/>
        <item x="73"/>
        <item x="71"/>
        <item x="119"/>
        <item x="46"/>
        <item x="67"/>
        <item x="72"/>
        <item x="81"/>
        <item x="33"/>
        <item x="2"/>
        <item x="86"/>
        <item x="53"/>
        <item x="118"/>
        <item x="26"/>
        <item x="117"/>
        <item x="18"/>
        <item x="115"/>
        <item x="113"/>
        <item x="89"/>
        <item x="98"/>
        <item x="91"/>
        <item x="90"/>
        <item x="41"/>
        <item x="61"/>
        <item x="69"/>
        <item x="94"/>
        <item x="17"/>
        <item x="101"/>
        <item x="65"/>
        <item x="28"/>
        <item x="62"/>
        <item x="48"/>
        <item x="63"/>
        <item x="13"/>
        <item x="6"/>
        <item x="78"/>
        <item x="99"/>
        <item x="105"/>
        <item x="93"/>
        <item x="30"/>
        <item x="20"/>
        <item x="60"/>
        <item x="114"/>
        <item t="default"/>
      </items>
    </pivotField>
    <pivotField numFmtId="1" showAll="0">
      <items count="39">
        <item x="3"/>
        <item x="4"/>
        <item x="16"/>
        <item x="15"/>
        <item x="7"/>
        <item x="20"/>
        <item x="1"/>
        <item x="11"/>
        <item x="2"/>
        <item x="31"/>
        <item x="0"/>
        <item x="12"/>
        <item x="30"/>
        <item x="9"/>
        <item x="27"/>
        <item x="18"/>
        <item x="34"/>
        <item x="17"/>
        <item x="28"/>
        <item x="21"/>
        <item x="32"/>
        <item x="6"/>
        <item x="19"/>
        <item x="22"/>
        <item x="24"/>
        <item x="8"/>
        <item x="13"/>
        <item x="35"/>
        <item x="26"/>
        <item x="5"/>
        <item x="25"/>
        <item x="36"/>
        <item x="29"/>
        <item x="14"/>
        <item x="33"/>
        <item x="10"/>
        <item x="23"/>
        <item x="37"/>
        <item t="default"/>
      </items>
    </pivotField>
    <pivotField dataField="1" numFmtId="1" showAll="0">
      <items count="104">
        <item x="3"/>
        <item x="14"/>
        <item x="21"/>
        <item x="98"/>
        <item x="24"/>
        <item x="4"/>
        <item x="20"/>
        <item x="26"/>
        <item x="93"/>
        <item x="17"/>
        <item x="13"/>
        <item x="88"/>
        <item x="58"/>
        <item x="0"/>
        <item x="62"/>
        <item x="22"/>
        <item x="59"/>
        <item x="67"/>
        <item x="90"/>
        <item x="101"/>
        <item x="8"/>
        <item x="81"/>
        <item x="37"/>
        <item x="89"/>
        <item x="85"/>
        <item x="80"/>
        <item x="92"/>
        <item x="1"/>
        <item x="12"/>
        <item x="83"/>
        <item x="32"/>
        <item x="28"/>
        <item x="33"/>
        <item x="30"/>
        <item x="54"/>
        <item x="87"/>
        <item x="23"/>
        <item x="44"/>
        <item x="50"/>
        <item x="73"/>
        <item x="66"/>
        <item x="45"/>
        <item x="36"/>
        <item x="7"/>
        <item x="51"/>
        <item x="78"/>
        <item x="76"/>
        <item x="38"/>
        <item x="84"/>
        <item x="60"/>
        <item x="31"/>
        <item x="6"/>
        <item x="29"/>
        <item x="91"/>
        <item x="100"/>
        <item x="40"/>
        <item x="63"/>
        <item x="19"/>
        <item x="65"/>
        <item x="41"/>
        <item x="39"/>
        <item x="55"/>
        <item x="77"/>
        <item x="42"/>
        <item x="15"/>
        <item x="96"/>
        <item x="97"/>
        <item x="75"/>
        <item x="52"/>
        <item x="16"/>
        <item x="10"/>
        <item x="102"/>
        <item x="9"/>
        <item x="99"/>
        <item x="68"/>
        <item x="61"/>
        <item x="56"/>
        <item x="2"/>
        <item x="57"/>
        <item x="69"/>
        <item x="43"/>
        <item x="72"/>
        <item x="94"/>
        <item x="35"/>
        <item x="47"/>
        <item x="34"/>
        <item x="70"/>
        <item x="11"/>
        <item x="53"/>
        <item x="25"/>
        <item x="49"/>
        <item x="48"/>
        <item x="5"/>
        <item x="82"/>
        <item x="79"/>
        <item x="71"/>
        <item x="74"/>
        <item x="64"/>
        <item x="86"/>
        <item x="27"/>
        <item x="95"/>
        <item x="46"/>
        <item x="18"/>
        <item t="default"/>
      </items>
    </pivotField>
    <pivotField numFmtId="2" showAll="0">
      <items count="146">
        <item x="19"/>
        <item x="119"/>
        <item x="110"/>
        <item x="136"/>
        <item x="28"/>
        <item x="22"/>
        <item x="12"/>
        <item x="124"/>
        <item x="98"/>
        <item x="88"/>
        <item x="59"/>
        <item x="105"/>
        <item x="68"/>
        <item x="140"/>
        <item x="138"/>
        <item x="40"/>
        <item x="62"/>
        <item x="97"/>
        <item x="55"/>
        <item x="78"/>
        <item x="39"/>
        <item x="73"/>
        <item x="15"/>
        <item x="130"/>
        <item x="141"/>
        <item x="77"/>
        <item x="29"/>
        <item x="115"/>
        <item x="8"/>
        <item x="46"/>
        <item x="85"/>
        <item x="75"/>
        <item x="32"/>
        <item x="13"/>
        <item x="63"/>
        <item x="10"/>
        <item x="57"/>
        <item x="52"/>
        <item x="96"/>
        <item x="129"/>
        <item x="95"/>
        <item x="53"/>
        <item x="79"/>
        <item x="114"/>
        <item x="112"/>
        <item x="50"/>
        <item x="37"/>
        <item x="27"/>
        <item x="132"/>
        <item x="86"/>
        <item x="43"/>
        <item x="6"/>
        <item x="7"/>
        <item x="18"/>
        <item x="116"/>
        <item x="122"/>
        <item x="133"/>
        <item x="102"/>
        <item x="121"/>
        <item x="24"/>
        <item x="65"/>
        <item x="117"/>
        <item x="69"/>
        <item x="30"/>
        <item x="38"/>
        <item x="107"/>
        <item x="83"/>
        <item x="44"/>
        <item x="137"/>
        <item x="56"/>
        <item x="135"/>
        <item x="80"/>
        <item x="90"/>
        <item x="82"/>
        <item x="34"/>
        <item x="87"/>
        <item x="49"/>
        <item x="104"/>
        <item x="21"/>
        <item x="41"/>
        <item x="11"/>
        <item x="91"/>
        <item x="66"/>
        <item x="1"/>
        <item x="144"/>
        <item x="100"/>
        <item x="76"/>
        <item x="93"/>
        <item x="25"/>
        <item x="51"/>
        <item x="36"/>
        <item x="109"/>
        <item x="42"/>
        <item x="94"/>
        <item x="9"/>
        <item x="5"/>
        <item x="0"/>
        <item x="23"/>
        <item x="118"/>
        <item x="20"/>
        <item x="108"/>
        <item x="61"/>
        <item x="81"/>
        <item x="71"/>
        <item x="131"/>
        <item x="2"/>
        <item x="17"/>
        <item x="4"/>
        <item x="58"/>
        <item x="45"/>
        <item x="103"/>
        <item x="106"/>
        <item x="60"/>
        <item x="111"/>
        <item x="26"/>
        <item x="89"/>
        <item x="48"/>
        <item x="64"/>
        <item x="35"/>
        <item x="134"/>
        <item x="70"/>
        <item x="120"/>
        <item x="3"/>
        <item x="127"/>
        <item x="128"/>
        <item x="113"/>
        <item x="101"/>
        <item x="84"/>
        <item x="125"/>
        <item x="14"/>
        <item x="72"/>
        <item x="47"/>
        <item x="126"/>
        <item x="31"/>
        <item x="33"/>
        <item x="142"/>
        <item x="123"/>
        <item x="92"/>
        <item x="99"/>
        <item x="67"/>
        <item x="54"/>
        <item x="74"/>
        <item x="16"/>
        <item x="139"/>
        <item x="143"/>
        <item t="default"/>
      </items>
    </pivotField>
    <pivotField numFmtId="2" showAll="0">
      <items count="178">
        <item x="32"/>
        <item x="115"/>
        <item x="167"/>
        <item x="113"/>
        <item x="22"/>
        <item x="74"/>
        <item x="125"/>
        <item x="176"/>
        <item x="63"/>
        <item x="96"/>
        <item x="11"/>
        <item x="41"/>
        <item x="94"/>
        <item x="4"/>
        <item x="39"/>
        <item x="16"/>
        <item x="54"/>
        <item x="111"/>
        <item x="20"/>
        <item x="163"/>
        <item x="128"/>
        <item x="67"/>
        <item x="33"/>
        <item x="142"/>
        <item x="172"/>
        <item x="157"/>
        <item x="61"/>
        <item x="52"/>
        <item x="71"/>
        <item x="82"/>
        <item x="51"/>
        <item x="6"/>
        <item x="87"/>
        <item x="58"/>
        <item x="93"/>
        <item x="119"/>
        <item x="57"/>
        <item x="101"/>
        <item x="72"/>
        <item x="21"/>
        <item x="50"/>
        <item x="147"/>
        <item x="174"/>
        <item x="150"/>
        <item x="37"/>
        <item x="53"/>
        <item x="134"/>
        <item x="152"/>
        <item x="25"/>
        <item x="17"/>
        <item x="88"/>
        <item x="120"/>
        <item x="169"/>
        <item x="151"/>
        <item x="95"/>
        <item x="165"/>
        <item x="13"/>
        <item x="132"/>
        <item x="1"/>
        <item x="124"/>
        <item x="78"/>
        <item x="18"/>
        <item x="73"/>
        <item x="148"/>
        <item x="8"/>
        <item x="175"/>
        <item x="170"/>
        <item x="153"/>
        <item x="90"/>
        <item x="126"/>
        <item x="77"/>
        <item x="86"/>
        <item x="40"/>
        <item x="100"/>
        <item x="30"/>
        <item x="62"/>
        <item x="42"/>
        <item x="141"/>
        <item x="29"/>
        <item x="59"/>
        <item x="2"/>
        <item x="80"/>
        <item x="159"/>
        <item x="0"/>
        <item x="109"/>
        <item x="127"/>
        <item x="130"/>
        <item x="84"/>
        <item x="7"/>
        <item x="69"/>
        <item x="55"/>
        <item x="117"/>
        <item x="114"/>
        <item x="46"/>
        <item x="133"/>
        <item x="143"/>
        <item x="122"/>
        <item x="145"/>
        <item x="75"/>
        <item x="106"/>
        <item x="137"/>
        <item x="5"/>
        <item x="103"/>
        <item x="23"/>
        <item x="129"/>
        <item x="104"/>
        <item x="99"/>
        <item x="10"/>
        <item x="108"/>
        <item x="168"/>
        <item x="112"/>
        <item x="161"/>
        <item x="28"/>
        <item x="173"/>
        <item x="98"/>
        <item x="45"/>
        <item x="43"/>
        <item x="64"/>
        <item x="140"/>
        <item x="146"/>
        <item x="156"/>
        <item x="27"/>
        <item x="83"/>
        <item x="26"/>
        <item x="171"/>
        <item x="139"/>
        <item x="31"/>
        <item x="14"/>
        <item x="89"/>
        <item x="92"/>
        <item x="160"/>
        <item x="19"/>
        <item x="79"/>
        <item x="164"/>
        <item x="34"/>
        <item x="123"/>
        <item x="135"/>
        <item x="85"/>
        <item x="3"/>
        <item x="66"/>
        <item x="70"/>
        <item x="166"/>
        <item x="9"/>
        <item x="154"/>
        <item x="110"/>
        <item x="144"/>
        <item x="15"/>
        <item x="81"/>
        <item x="118"/>
        <item x="36"/>
        <item x="12"/>
        <item x="149"/>
        <item x="47"/>
        <item x="136"/>
        <item x="65"/>
        <item x="35"/>
        <item x="38"/>
        <item x="162"/>
        <item x="44"/>
        <item x="68"/>
        <item x="60"/>
        <item x="138"/>
        <item x="97"/>
        <item x="158"/>
        <item x="56"/>
        <item x="105"/>
        <item x="91"/>
        <item x="155"/>
        <item x="121"/>
        <item x="107"/>
        <item x="102"/>
        <item x="131"/>
        <item x="116"/>
        <item x="24"/>
        <item x="76"/>
        <item x="48"/>
        <item x="49"/>
        <item t="default"/>
      </items>
    </pivotField>
    <pivotField showAll="0">
      <items count="156">
        <item x="19"/>
        <item x="127"/>
        <item x="119"/>
        <item x="143"/>
        <item x="28"/>
        <item x="105"/>
        <item x="12"/>
        <item x="122"/>
        <item x="133"/>
        <item x="69"/>
        <item x="60"/>
        <item x="96"/>
        <item x="145"/>
        <item x="112"/>
        <item x="63"/>
        <item x="83"/>
        <item x="15"/>
        <item x="41"/>
        <item x="137"/>
        <item x="148"/>
        <item x="56"/>
        <item x="79"/>
        <item x="80"/>
        <item x="47"/>
        <item x="90"/>
        <item x="124"/>
        <item x="97"/>
        <item x="77"/>
        <item x="29"/>
        <item x="95"/>
        <item x="93"/>
        <item x="149"/>
        <item x="115"/>
        <item x="136"/>
        <item x="128"/>
        <item x="58"/>
        <item x="75"/>
        <item x="8"/>
        <item x="10"/>
        <item x="139"/>
        <item x="103"/>
        <item x="27"/>
        <item x="150"/>
        <item x="37"/>
        <item x="24"/>
        <item x="121"/>
        <item x="44"/>
        <item x="131"/>
        <item x="92"/>
        <item x="13"/>
        <item x="113"/>
        <item x="130"/>
        <item x="134"/>
        <item x="7"/>
        <item x="30"/>
        <item x="34"/>
        <item x="111"/>
        <item x="85"/>
        <item x="86"/>
        <item x="125"/>
        <item x="40"/>
        <item x="22"/>
        <item x="64"/>
        <item x="45"/>
        <item x="52"/>
        <item x="98"/>
        <item x="18"/>
        <item x="70"/>
        <item x="42"/>
        <item x="53"/>
        <item x="48"/>
        <item x="66"/>
        <item x="81"/>
        <item x="39"/>
        <item x="147"/>
        <item x="43"/>
        <item x="114"/>
        <item x="32"/>
        <item x="101"/>
        <item x="9"/>
        <item x="6"/>
        <item x="141"/>
        <item x="107"/>
        <item x="144"/>
        <item x="78"/>
        <item x="82"/>
        <item x="5"/>
        <item x="100"/>
        <item x="109"/>
        <item x="23"/>
        <item x="54"/>
        <item x="59"/>
        <item x="46"/>
        <item x="91"/>
        <item x="153"/>
        <item x="126"/>
        <item x="0"/>
        <item x="118"/>
        <item x="1"/>
        <item x="62"/>
        <item x="102"/>
        <item x="26"/>
        <item x="73"/>
        <item x="35"/>
        <item x="21"/>
        <item x="94"/>
        <item x="129"/>
        <item x="51"/>
        <item x="84"/>
        <item x="2"/>
        <item x="25"/>
        <item x="72"/>
        <item x="140"/>
        <item x="123"/>
        <item x="135"/>
        <item x="3"/>
        <item x="38"/>
        <item x="154"/>
        <item x="36"/>
        <item x="108"/>
        <item x="116"/>
        <item x="117"/>
        <item x="14"/>
        <item x="74"/>
        <item x="17"/>
        <item x="104"/>
        <item x="71"/>
        <item x="110"/>
        <item x="120"/>
        <item x="33"/>
        <item x="87"/>
        <item x="65"/>
        <item x="89"/>
        <item x="88"/>
        <item x="142"/>
        <item x="138"/>
        <item x="11"/>
        <item x="57"/>
        <item x="20"/>
        <item x="151"/>
        <item x="50"/>
        <item x="99"/>
        <item x="61"/>
        <item x="49"/>
        <item x="4"/>
        <item x="76"/>
        <item x="68"/>
        <item x="132"/>
        <item x="67"/>
        <item x="55"/>
        <item x="16"/>
        <item x="152"/>
        <item x="146"/>
        <item x="106"/>
        <item x="31"/>
        <item t="default"/>
      </items>
    </pivotField>
    <pivotField numFmtId="1" showAll="0">
      <items count="184">
        <item x="179"/>
        <item x="75"/>
        <item x="68"/>
        <item x="139"/>
        <item x="49"/>
        <item x="94"/>
        <item x="69"/>
        <item x="164"/>
        <item x="59"/>
        <item x="17"/>
        <item x="140"/>
        <item x="5"/>
        <item x="100"/>
        <item x="19"/>
        <item x="14"/>
        <item x="146"/>
        <item x="113"/>
        <item x="63"/>
        <item x="166"/>
        <item x="24"/>
        <item x="30"/>
        <item x="11"/>
        <item x="55"/>
        <item x="114"/>
        <item x="28"/>
        <item x="38"/>
        <item x="73"/>
        <item x="27"/>
        <item x="110"/>
        <item x="97"/>
        <item x="177"/>
        <item x="160"/>
        <item x="162"/>
        <item x="22"/>
        <item x="108"/>
        <item x="141"/>
        <item x="142"/>
        <item x="4"/>
        <item x="165"/>
        <item x="86"/>
        <item x="3"/>
        <item x="34"/>
        <item x="45"/>
        <item x="64"/>
        <item x="174"/>
        <item x="26"/>
        <item x="170"/>
        <item x="157"/>
        <item x="123"/>
        <item x="98"/>
        <item x="95"/>
        <item x="88"/>
        <item x="118"/>
        <item x="167"/>
        <item x="117"/>
        <item x="121"/>
        <item x="18"/>
        <item x="180"/>
        <item x="138"/>
        <item x="147"/>
        <item x="182"/>
        <item x="57"/>
        <item x="78"/>
        <item x="101"/>
        <item x="72"/>
        <item x="149"/>
        <item x="99"/>
        <item x="56"/>
        <item x="29"/>
        <item x="115"/>
        <item x="153"/>
        <item x="44"/>
        <item x="107"/>
        <item x="155"/>
        <item x="39"/>
        <item x="96"/>
        <item x="104"/>
        <item x="106"/>
        <item x="54"/>
        <item x="150"/>
        <item x="122"/>
        <item x="163"/>
        <item x="181"/>
        <item x="130"/>
        <item x="67"/>
        <item x="1"/>
        <item x="77"/>
        <item x="43"/>
        <item x="33"/>
        <item x="48"/>
        <item x="102"/>
        <item x="91"/>
        <item x="109"/>
        <item x="62"/>
        <item x="71"/>
        <item x="161"/>
        <item x="74"/>
        <item x="103"/>
        <item x="60"/>
        <item x="40"/>
        <item x="21"/>
        <item x="105"/>
        <item x="178"/>
        <item x="25"/>
        <item x="144"/>
        <item x="126"/>
        <item x="125"/>
        <item x="58"/>
        <item x="156"/>
        <item x="41"/>
        <item x="53"/>
        <item x="176"/>
        <item x="8"/>
        <item x="47"/>
        <item x="90"/>
        <item x="152"/>
        <item x="46"/>
        <item x="42"/>
        <item x="31"/>
        <item x="175"/>
        <item x="116"/>
        <item x="119"/>
        <item x="9"/>
        <item x="112"/>
        <item x="145"/>
        <item x="2"/>
        <item x="87"/>
        <item x="83"/>
        <item x="93"/>
        <item x="10"/>
        <item x="66"/>
        <item x="159"/>
        <item x="76"/>
        <item x="7"/>
        <item x="0"/>
        <item x="12"/>
        <item x="124"/>
        <item x="136"/>
        <item x="70"/>
        <item x="133"/>
        <item x="148"/>
        <item x="134"/>
        <item x="84"/>
        <item x="120"/>
        <item x="50"/>
        <item x="129"/>
        <item x="172"/>
        <item x="92"/>
        <item x="171"/>
        <item x="20"/>
        <item x="16"/>
        <item x="15"/>
        <item x="127"/>
        <item x="132"/>
        <item x="89"/>
        <item x="51"/>
        <item x="158"/>
        <item x="36"/>
        <item x="80"/>
        <item x="52"/>
        <item x="82"/>
        <item x="135"/>
        <item x="32"/>
        <item x="6"/>
        <item x="65"/>
        <item x="37"/>
        <item x="13"/>
        <item x="61"/>
        <item x="168"/>
        <item x="85"/>
        <item x="143"/>
        <item x="154"/>
        <item x="128"/>
        <item x="81"/>
        <item x="173"/>
        <item x="35"/>
        <item x="111"/>
        <item x="131"/>
        <item x="151"/>
        <item x="137"/>
        <item x="79"/>
        <item x="23"/>
        <item x="169"/>
        <item t="default"/>
      </items>
    </pivotField>
    <pivotField numFmtId="1" showAll="0">
      <items count="163">
        <item x="82"/>
        <item x="24"/>
        <item x="64"/>
        <item x="105"/>
        <item x="14"/>
        <item x="67"/>
        <item x="132"/>
        <item x="104"/>
        <item x="17"/>
        <item x="19"/>
        <item x="5"/>
        <item x="146"/>
        <item x="53"/>
        <item x="52"/>
        <item x="72"/>
        <item x="37"/>
        <item x="44"/>
        <item x="3"/>
        <item x="100"/>
        <item x="88"/>
        <item x="33"/>
        <item x="26"/>
        <item x="99"/>
        <item x="47"/>
        <item x="118"/>
        <item x="80"/>
        <item x="148"/>
        <item x="32"/>
        <item x="68"/>
        <item x="29"/>
        <item x="27"/>
        <item x="56"/>
        <item x="153"/>
        <item x="91"/>
        <item x="135"/>
        <item x="93"/>
        <item x="150"/>
        <item x="140"/>
        <item x="43"/>
        <item x="149"/>
        <item x="138"/>
        <item x="60"/>
        <item x="97"/>
        <item x="71"/>
        <item x="128"/>
        <item x="77"/>
        <item x="134"/>
        <item x="156"/>
        <item x="90"/>
        <item x="145"/>
        <item x="18"/>
        <item x="108"/>
        <item x="4"/>
        <item x="11"/>
        <item x="59"/>
        <item x="63"/>
        <item x="22"/>
        <item x="127"/>
        <item x="28"/>
        <item x="101"/>
        <item x="69"/>
        <item x="112"/>
        <item x="46"/>
        <item x="147"/>
        <item x="38"/>
        <item x="98"/>
        <item x="137"/>
        <item x="39"/>
        <item x="142"/>
        <item x="141"/>
        <item x="66"/>
        <item x="54"/>
        <item x="109"/>
        <item x="42"/>
        <item x="96"/>
        <item x="94"/>
        <item x="106"/>
        <item x="1"/>
        <item x="0"/>
        <item x="58"/>
        <item x="119"/>
        <item x="9"/>
        <item x="130"/>
        <item x="144"/>
        <item x="92"/>
        <item x="110"/>
        <item x="30"/>
        <item x="114"/>
        <item x="89"/>
        <item x="161"/>
        <item x="15"/>
        <item x="35"/>
        <item x="160"/>
        <item x="111"/>
        <item x="41"/>
        <item x="143"/>
        <item x="45"/>
        <item x="123"/>
        <item x="85"/>
        <item x="79"/>
        <item x="25"/>
        <item x="159"/>
        <item x="154"/>
        <item x="21"/>
        <item x="103"/>
        <item x="16"/>
        <item x="7"/>
        <item x="95"/>
        <item x="12"/>
        <item x="10"/>
        <item x="124"/>
        <item x="133"/>
        <item x="51"/>
        <item x="8"/>
        <item x="131"/>
        <item x="122"/>
        <item x="107"/>
        <item x="31"/>
        <item x="158"/>
        <item x="61"/>
        <item x="113"/>
        <item x="157"/>
        <item x="50"/>
        <item x="84"/>
        <item x="2"/>
        <item x="40"/>
        <item x="55"/>
        <item x="86"/>
        <item x="155"/>
        <item x="70"/>
        <item x="62"/>
        <item x="81"/>
        <item x="87"/>
        <item x="65"/>
        <item x="57"/>
        <item x="151"/>
        <item x="49"/>
        <item x="117"/>
        <item x="139"/>
        <item x="125"/>
        <item x="116"/>
        <item x="115"/>
        <item x="20"/>
        <item x="48"/>
        <item x="83"/>
        <item x="78"/>
        <item x="74"/>
        <item x="121"/>
        <item x="34"/>
        <item x="129"/>
        <item x="75"/>
        <item x="76"/>
        <item x="13"/>
        <item x="120"/>
        <item x="6"/>
        <item x="126"/>
        <item x="102"/>
        <item x="36"/>
        <item x="136"/>
        <item x="23"/>
        <item x="73"/>
        <item x="152"/>
        <item t="default"/>
      </items>
    </pivotField>
    <pivotField numFmtId="2" showAll="0">
      <items count="170">
        <item x="82"/>
        <item x="23"/>
        <item x="114"/>
        <item x="67"/>
        <item x="103"/>
        <item x="77"/>
        <item x="53"/>
        <item x="79"/>
        <item x="107"/>
        <item x="47"/>
        <item x="56"/>
        <item x="72"/>
        <item x="119"/>
        <item x="32"/>
        <item x="98"/>
        <item x="35"/>
        <item x="154"/>
        <item x="100"/>
        <item x="14"/>
        <item x="161"/>
        <item x="151"/>
        <item x="61"/>
        <item x="0"/>
        <item x="143"/>
        <item x="44"/>
        <item x="89"/>
        <item x="46"/>
        <item x="128"/>
        <item x="116"/>
        <item x="113"/>
        <item x="71"/>
        <item x="3"/>
        <item x="26"/>
        <item x="148"/>
        <item x="145"/>
        <item x="147"/>
        <item x="157"/>
        <item x="57"/>
        <item x="121"/>
        <item x="31"/>
        <item x="25"/>
        <item x="160"/>
        <item x="43"/>
        <item x="101"/>
        <item x="15"/>
        <item x="94"/>
        <item x="33"/>
        <item x="13"/>
        <item x="149"/>
        <item x="133"/>
        <item x="69"/>
        <item x="9"/>
        <item x="139"/>
        <item x="146"/>
        <item x="132"/>
        <item x="166"/>
        <item x="34"/>
        <item x="153"/>
        <item x="50"/>
        <item x="39"/>
        <item x="102"/>
        <item x="112"/>
        <item x="130"/>
        <item x="88"/>
        <item x="63"/>
        <item x="92"/>
        <item x="80"/>
        <item x="159"/>
        <item x="138"/>
        <item x="52"/>
        <item x="140"/>
        <item x="30"/>
        <item x="37"/>
        <item x="135"/>
        <item x="75"/>
        <item x="106"/>
        <item x="142"/>
        <item x="7"/>
        <item x="66"/>
        <item x="127"/>
        <item x="64"/>
        <item x="86"/>
        <item x="156"/>
        <item x="49"/>
        <item x="125"/>
        <item x="12"/>
        <item x="136"/>
        <item x="10"/>
        <item x="115"/>
        <item x="41"/>
        <item x="60"/>
        <item x="105"/>
        <item x="18"/>
        <item x="45"/>
        <item x="141"/>
        <item x="118"/>
        <item x="17"/>
        <item x="117"/>
        <item x="155"/>
        <item x="42"/>
        <item x="58"/>
        <item x="158"/>
        <item x="95"/>
        <item x="38"/>
        <item x="99"/>
        <item x="28"/>
        <item x="120"/>
        <item x="110"/>
        <item x="122"/>
        <item x="162"/>
        <item x="5"/>
        <item x="104"/>
        <item x="137"/>
        <item x="74"/>
        <item x="70"/>
        <item x="83"/>
        <item x="22"/>
        <item x="131"/>
        <item x="68"/>
        <item x="134"/>
        <item x="65"/>
        <item x="19"/>
        <item x="1"/>
        <item x="27"/>
        <item x="2"/>
        <item x="62"/>
        <item x="76"/>
        <item x="48"/>
        <item x="109"/>
        <item x="24"/>
        <item x="126"/>
        <item x="165"/>
        <item x="16"/>
        <item x="129"/>
        <item x="144"/>
        <item x="81"/>
        <item x="124"/>
        <item x="97"/>
        <item x="87"/>
        <item x="78"/>
        <item x="8"/>
        <item x="51"/>
        <item x="163"/>
        <item x="20"/>
        <item x="36"/>
        <item x="85"/>
        <item x="54"/>
        <item x="4"/>
        <item x="6"/>
        <item x="73"/>
        <item x="152"/>
        <item x="164"/>
        <item x="84"/>
        <item x="29"/>
        <item x="108"/>
        <item x="90"/>
        <item x="96"/>
        <item x="167"/>
        <item x="111"/>
        <item x="40"/>
        <item x="150"/>
        <item x="91"/>
        <item x="21"/>
        <item x="55"/>
        <item x="93"/>
        <item x="168"/>
        <item x="11"/>
        <item x="59"/>
        <item x="123"/>
        <item t="default"/>
      </items>
    </pivotField>
    <pivotField axis="axisRow" showAll="0">
      <items count="7">
        <item x="2"/>
        <item x="3"/>
        <item x="0"/>
        <item x="1"/>
        <item x="5"/>
        <item x="4"/>
        <item t="default"/>
      </items>
    </pivotField>
  </pivotFields>
  <rowFields count="1">
    <field x="14"/>
  </rowFields>
  <rowItems count="7">
    <i>
      <x/>
    </i>
    <i>
      <x v="1"/>
    </i>
    <i>
      <x v="2"/>
    </i>
    <i>
      <x v="3"/>
    </i>
    <i>
      <x v="4"/>
    </i>
    <i>
      <x v="5"/>
    </i>
    <i t="grand">
      <x/>
    </i>
  </rowItems>
  <colItems count="1">
    <i/>
  </colItems>
  <dataFields count="1">
    <dataField name="Sum of New recovered" fld="7" baseField="0" baseItem="0"/>
  </dataFields>
  <chartFormats count="2">
    <chartFormat chart="29" format="0" series="1">
      <pivotArea type="data" outline="0" fieldPosition="0">
        <references count="1">
          <reference field="4294967294" count="1" selected="0">
            <x v="0"/>
          </reference>
        </references>
      </pivotArea>
    </chartFormat>
    <chartFormat chart="3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400ACF3-BF49-40D9-BCAD-2BCE88366D53}" name="PivotTable6"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A51:B58" firstHeaderRow="1" firstDataRow="1" firstDataCol="1"/>
  <pivotFields count="15">
    <pivotField showAll="0">
      <items count="1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4"/>
        <item x="175"/>
        <item x="176"/>
        <item x="177"/>
        <item x="178"/>
        <item x="173"/>
        <item x="179"/>
        <item x="180"/>
        <item x="181"/>
        <item x="182"/>
        <item x="183"/>
        <item x="184"/>
        <item x="185"/>
        <item x="186"/>
        <item t="default"/>
      </items>
    </pivotField>
    <pivotField numFmtId="1" showAll="0">
      <items count="185">
        <item x="180"/>
        <item x="75"/>
        <item x="68"/>
        <item x="139"/>
        <item x="49"/>
        <item x="94"/>
        <item x="69"/>
        <item x="140"/>
        <item x="59"/>
        <item x="17"/>
        <item x="141"/>
        <item x="129"/>
        <item x="5"/>
        <item x="19"/>
        <item x="14"/>
        <item x="147"/>
        <item x="112"/>
        <item x="24"/>
        <item x="168"/>
        <item x="30"/>
        <item x="55"/>
        <item x="113"/>
        <item x="63"/>
        <item x="109"/>
        <item x="27"/>
        <item x="38"/>
        <item x="28"/>
        <item x="11"/>
        <item x="73"/>
        <item x="179"/>
        <item x="163"/>
        <item x="97"/>
        <item x="165"/>
        <item x="162"/>
        <item x="142"/>
        <item x="107"/>
        <item x="22"/>
        <item x="86"/>
        <item x="143"/>
        <item x="167"/>
        <item x="3"/>
        <item x="34"/>
        <item x="4"/>
        <item x="45"/>
        <item x="26"/>
        <item x="172"/>
        <item x="122"/>
        <item x="64"/>
        <item x="98"/>
        <item x="88"/>
        <item x="176"/>
        <item x="95"/>
        <item x="169"/>
        <item x="159"/>
        <item x="120"/>
        <item x="181"/>
        <item x="116"/>
        <item x="18"/>
        <item x="148"/>
        <item x="117"/>
        <item x="78"/>
        <item x="138"/>
        <item x="72"/>
        <item x="100"/>
        <item x="56"/>
        <item x="151"/>
        <item x="150"/>
        <item x="155"/>
        <item x="57"/>
        <item x="29"/>
        <item x="106"/>
        <item x="44"/>
        <item x="183"/>
        <item x="157"/>
        <item x="99"/>
        <item x="114"/>
        <item x="54"/>
        <item x="152"/>
        <item x="39"/>
        <item x="166"/>
        <item x="105"/>
        <item x="121"/>
        <item x="103"/>
        <item x="96"/>
        <item x="67"/>
        <item x="77"/>
        <item x="130"/>
        <item x="182"/>
        <item x="33"/>
        <item x="1"/>
        <item x="43"/>
        <item x="48"/>
        <item x="108"/>
        <item x="101"/>
        <item x="71"/>
        <item x="62"/>
        <item x="164"/>
        <item x="74"/>
        <item x="60"/>
        <item x="91"/>
        <item x="40"/>
        <item x="104"/>
        <item x="125"/>
        <item x="102"/>
        <item x="145"/>
        <item x="124"/>
        <item x="21"/>
        <item x="25"/>
        <item x="158"/>
        <item x="47"/>
        <item x="154"/>
        <item x="58"/>
        <item x="53"/>
        <item x="8"/>
        <item x="46"/>
        <item x="42"/>
        <item x="41"/>
        <item x="178"/>
        <item x="31"/>
        <item x="90"/>
        <item x="118"/>
        <item x="9"/>
        <item x="115"/>
        <item x="177"/>
        <item x="111"/>
        <item x="146"/>
        <item x="83"/>
        <item x="2"/>
        <item x="10"/>
        <item x="87"/>
        <item x="93"/>
        <item x="66"/>
        <item x="161"/>
        <item x="0"/>
        <item x="7"/>
        <item x="12"/>
        <item x="76"/>
        <item x="123"/>
        <item x="133"/>
        <item x="70"/>
        <item x="136"/>
        <item x="134"/>
        <item x="149"/>
        <item x="119"/>
        <item x="174"/>
        <item x="128"/>
        <item x="84"/>
        <item x="50"/>
        <item x="92"/>
        <item x="16"/>
        <item x="173"/>
        <item x="15"/>
        <item x="20"/>
        <item x="126"/>
        <item x="160"/>
        <item x="51"/>
        <item x="132"/>
        <item x="89"/>
        <item x="36"/>
        <item x="52"/>
        <item x="80"/>
        <item x="135"/>
        <item x="82"/>
        <item x="32"/>
        <item x="6"/>
        <item x="65"/>
        <item x="61"/>
        <item x="13"/>
        <item x="170"/>
        <item x="85"/>
        <item x="37"/>
        <item x="144"/>
        <item x="156"/>
        <item x="127"/>
        <item x="81"/>
        <item x="175"/>
        <item x="35"/>
        <item x="131"/>
        <item x="110"/>
        <item x="153"/>
        <item x="137"/>
        <item x="79"/>
        <item x="23"/>
        <item x="171"/>
        <item t="default"/>
      </items>
    </pivotField>
    <pivotField numFmtId="1" showAll="0">
      <items count="151">
        <item x="19"/>
        <item x="26"/>
        <item x="17"/>
        <item x="5"/>
        <item x="96"/>
        <item x="115"/>
        <item x="25"/>
        <item x="14"/>
        <item x="56"/>
        <item x="92"/>
        <item x="68"/>
        <item x="11"/>
        <item x="83"/>
        <item x="117"/>
        <item x="91"/>
        <item x="57"/>
        <item x="137"/>
        <item x="41"/>
        <item x="64"/>
        <item x="136"/>
        <item x="27"/>
        <item x="131"/>
        <item x="63"/>
        <item x="122"/>
        <item x="123"/>
        <item x="82"/>
        <item x="51"/>
        <item x="18"/>
        <item x="149"/>
        <item x="134"/>
        <item x="4"/>
        <item x="116"/>
        <item x="107"/>
        <item x="62"/>
        <item x="128"/>
        <item x="98"/>
        <item x="55"/>
        <item x="138"/>
        <item x="49"/>
        <item x="3"/>
        <item x="24"/>
        <item x="35"/>
        <item x="44"/>
        <item x="30"/>
        <item x="135"/>
        <item x="85"/>
        <item x="121"/>
        <item x="50"/>
        <item x="84"/>
        <item x="31"/>
        <item x="146"/>
        <item x="86"/>
        <item x="40"/>
        <item x="88"/>
        <item x="125"/>
        <item x="38"/>
        <item x="89"/>
        <item x="100"/>
        <item x="87"/>
        <item x="37"/>
        <item x="124"/>
        <item x="144"/>
        <item x="90"/>
        <item x="39"/>
        <item x="148"/>
        <item x="12"/>
        <item x="1"/>
        <item x="145"/>
        <item x="93"/>
        <item x="65"/>
        <item x="112"/>
        <item x="8"/>
        <item x="59"/>
        <item x="79"/>
        <item x="119"/>
        <item x="60"/>
        <item x="36"/>
        <item x="52"/>
        <item x="103"/>
        <item x="78"/>
        <item x="21"/>
        <item x="127"/>
        <item x="97"/>
        <item x="53"/>
        <item x="142"/>
        <item x="23"/>
        <item x="42"/>
        <item x="28"/>
        <item x="104"/>
        <item x="48"/>
        <item x="10"/>
        <item x="80"/>
        <item x="102"/>
        <item x="74"/>
        <item x="147"/>
        <item x="15"/>
        <item x="120"/>
        <item x="77"/>
        <item x="67"/>
        <item x="43"/>
        <item x="7"/>
        <item x="9"/>
        <item x="130"/>
        <item x="95"/>
        <item x="101"/>
        <item x="76"/>
        <item x="45"/>
        <item x="2"/>
        <item x="66"/>
        <item x="0"/>
        <item x="81"/>
        <item x="106"/>
        <item x="141"/>
        <item x="110"/>
        <item x="111"/>
        <item x="61"/>
        <item x="73"/>
        <item x="109"/>
        <item x="133"/>
        <item x="113"/>
        <item x="20"/>
        <item x="118"/>
        <item x="13"/>
        <item x="6"/>
        <item x="72"/>
        <item x="47"/>
        <item x="33"/>
        <item x="70"/>
        <item x="46"/>
        <item x="139"/>
        <item x="132"/>
        <item x="105"/>
        <item x="99"/>
        <item x="126"/>
        <item x="34"/>
        <item x="29"/>
        <item x="58"/>
        <item x="32"/>
        <item x="16"/>
        <item x="114"/>
        <item x="71"/>
        <item x="108"/>
        <item x="129"/>
        <item x="54"/>
        <item x="69"/>
        <item x="75"/>
        <item x="94"/>
        <item x="143"/>
        <item x="22"/>
        <item x="140"/>
        <item t="default"/>
      </items>
    </pivotField>
    <pivotField numFmtId="1" showAll="0">
      <items count="179">
        <item x="32"/>
        <item x="174"/>
        <item x="127"/>
        <item x="73"/>
        <item x="67"/>
        <item x="137"/>
        <item x="49"/>
        <item x="92"/>
        <item x="138"/>
        <item x="68"/>
        <item x="17"/>
        <item x="139"/>
        <item x="22"/>
        <item x="5"/>
        <item x="62"/>
        <item x="98"/>
        <item x="19"/>
        <item x="11"/>
        <item x="14"/>
        <item x="115"/>
        <item x="111"/>
        <item x="95"/>
        <item x="24"/>
        <item x="30"/>
        <item x="71"/>
        <item x="159"/>
        <item x="117"/>
        <item x="55"/>
        <item x="112"/>
        <item x="4"/>
        <item x="27"/>
        <item x="28"/>
        <item x="38"/>
        <item x="108"/>
        <item x="172"/>
        <item x="157"/>
        <item x="177"/>
        <item x="97"/>
        <item x="161"/>
        <item x="96"/>
        <item x="140"/>
        <item x="106"/>
        <item x="84"/>
        <item x="141"/>
        <item x="3"/>
        <item x="113"/>
        <item x="34"/>
        <item x="39"/>
        <item x="175"/>
        <item x="54"/>
        <item x="45"/>
        <item x="63"/>
        <item x="155"/>
        <item x="26"/>
        <item x="169"/>
        <item x="136"/>
        <item x="165"/>
        <item x="57"/>
        <item x="120"/>
        <item x="18"/>
        <item x="86"/>
        <item x="93"/>
        <item x="162"/>
        <item x="151"/>
        <item x="144"/>
        <item x="66"/>
        <item x="168"/>
        <item x="118"/>
        <item x="148"/>
        <item x="33"/>
        <item x="29"/>
        <item x="146"/>
        <item x="99"/>
        <item x="102"/>
        <item x="94"/>
        <item x="147"/>
        <item x="76"/>
        <item x="105"/>
        <item x="56"/>
        <item x="153"/>
        <item x="44"/>
        <item x="119"/>
        <item x="104"/>
        <item x="1"/>
        <item x="176"/>
        <item x="128"/>
        <item x="160"/>
        <item x="75"/>
        <item x="173"/>
        <item x="41"/>
        <item x="43"/>
        <item x="89"/>
        <item x="72"/>
        <item x="107"/>
        <item x="61"/>
        <item x="100"/>
        <item x="21"/>
        <item x="48"/>
        <item x="74"/>
        <item x="122"/>
        <item x="25"/>
        <item x="40"/>
        <item x="154"/>
        <item x="158"/>
        <item x="70"/>
        <item x="101"/>
        <item x="58"/>
        <item x="143"/>
        <item x="59"/>
        <item x="53"/>
        <item x="88"/>
        <item x="103"/>
        <item x="123"/>
        <item x="8"/>
        <item x="171"/>
        <item x="42"/>
        <item x="46"/>
        <item x="170"/>
        <item x="47"/>
        <item x="150"/>
        <item x="116"/>
        <item x="31"/>
        <item x="110"/>
        <item x="114"/>
        <item x="16"/>
        <item x="121"/>
        <item x="9"/>
        <item x="2"/>
        <item x="91"/>
        <item x="20"/>
        <item x="85"/>
        <item x="10"/>
        <item x="81"/>
        <item x="0"/>
        <item x="134"/>
        <item x="130"/>
        <item x="7"/>
        <item x="82"/>
        <item x="65"/>
        <item x="50"/>
        <item x="156"/>
        <item x="69"/>
        <item x="131"/>
        <item x="52"/>
        <item x="51"/>
        <item x="126"/>
        <item x="132"/>
        <item x="12"/>
        <item x="166"/>
        <item x="145"/>
        <item x="167"/>
        <item x="87"/>
        <item x="90"/>
        <item x="124"/>
        <item x="78"/>
        <item x="15"/>
        <item x="6"/>
        <item x="80"/>
        <item x="36"/>
        <item x="60"/>
        <item x="133"/>
        <item x="13"/>
        <item x="37"/>
        <item x="152"/>
        <item x="64"/>
        <item x="83"/>
        <item x="163"/>
        <item x="142"/>
        <item x="125"/>
        <item x="79"/>
        <item x="129"/>
        <item x="149"/>
        <item x="109"/>
        <item x="35"/>
        <item x="135"/>
        <item x="77"/>
        <item x="164"/>
        <item x="23"/>
        <item t="default"/>
      </items>
    </pivotField>
    <pivotField numFmtId="1" showAll="0">
      <items count="174">
        <item x="24"/>
        <item x="65"/>
        <item x="104"/>
        <item x="94"/>
        <item x="107"/>
        <item x="14"/>
        <item x="157"/>
        <item x="19"/>
        <item x="152"/>
        <item x="5"/>
        <item x="37"/>
        <item x="17"/>
        <item x="73"/>
        <item x="47"/>
        <item x="102"/>
        <item x="116"/>
        <item x="33"/>
        <item x="54"/>
        <item x="123"/>
        <item x="3"/>
        <item x="168"/>
        <item x="108"/>
        <item x="53"/>
        <item x="137"/>
        <item x="27"/>
        <item x="29"/>
        <item x="43"/>
        <item x="133"/>
        <item x="26"/>
        <item x="83"/>
        <item x="119"/>
        <item x="155"/>
        <item x="81"/>
        <item x="161"/>
        <item x="89"/>
        <item x="57"/>
        <item x="99"/>
        <item x="69"/>
        <item x="44"/>
        <item x="61"/>
        <item x="165"/>
        <item x="141"/>
        <item x="158"/>
        <item x="156"/>
        <item x="60"/>
        <item x="11"/>
        <item x="154"/>
        <item x="95"/>
        <item x="91"/>
        <item x="170"/>
        <item x="138"/>
        <item x="92"/>
        <item x="101"/>
        <item x="72"/>
        <item x="149"/>
        <item x="140"/>
        <item x="46"/>
        <item x="151"/>
        <item x="4"/>
        <item x="147"/>
        <item x="22"/>
        <item x="18"/>
        <item x="67"/>
        <item x="28"/>
        <item x="78"/>
        <item x="42"/>
        <item x="100"/>
        <item x="115"/>
        <item x="144"/>
        <item x="132"/>
        <item x="145"/>
        <item x="68"/>
        <item x="153"/>
        <item x="55"/>
        <item x="96"/>
        <item x="103"/>
        <item x="142"/>
        <item x="171"/>
        <item x="9"/>
        <item x="124"/>
        <item x="111"/>
        <item x="112"/>
        <item x="98"/>
        <item x="1"/>
        <item x="109"/>
        <item x="90"/>
        <item x="172"/>
        <item x="52"/>
        <item x="30"/>
        <item x="93"/>
        <item x="38"/>
        <item x="59"/>
        <item x="64"/>
        <item x="70"/>
        <item x="39"/>
        <item x="32"/>
        <item x="135"/>
        <item x="129"/>
        <item x="86"/>
        <item x="12"/>
        <item x="35"/>
        <item x="97"/>
        <item x="63"/>
        <item x="45"/>
        <item x="110"/>
        <item x="118"/>
        <item x="25"/>
        <item x="148"/>
        <item x="113"/>
        <item x="139"/>
        <item x="41"/>
        <item x="21"/>
        <item x="8"/>
        <item x="167"/>
        <item x="15"/>
        <item x="106"/>
        <item x="163"/>
        <item x="10"/>
        <item x="169"/>
        <item x="51"/>
        <item x="62"/>
        <item x="56"/>
        <item x="2"/>
        <item x="82"/>
        <item x="127"/>
        <item x="87"/>
        <item x="166"/>
        <item x="0"/>
        <item x="85"/>
        <item x="7"/>
        <item x="88"/>
        <item x="159"/>
        <item x="66"/>
        <item x="40"/>
        <item x="80"/>
        <item x="128"/>
        <item x="130"/>
        <item x="34"/>
        <item x="120"/>
        <item x="117"/>
        <item x="76"/>
        <item x="136"/>
        <item x="122"/>
        <item x="121"/>
        <item x="162"/>
        <item x="84"/>
        <item x="77"/>
        <item x="48"/>
        <item x="71"/>
        <item x="79"/>
        <item x="75"/>
        <item x="16"/>
        <item x="49"/>
        <item x="134"/>
        <item x="20"/>
        <item x="114"/>
        <item x="105"/>
        <item x="50"/>
        <item x="126"/>
        <item x="150"/>
        <item x="6"/>
        <item x="146"/>
        <item x="13"/>
        <item x="125"/>
        <item x="31"/>
        <item x="58"/>
        <item x="36"/>
        <item x="143"/>
        <item x="131"/>
        <item x="164"/>
        <item x="74"/>
        <item x="23"/>
        <item x="160"/>
        <item t="default"/>
      </items>
    </pivotField>
    <pivotField numFmtId="1" showAll="0">
      <items count="123">
        <item x="14"/>
        <item x="25"/>
        <item x="45"/>
        <item x="37"/>
        <item x="5"/>
        <item x="47"/>
        <item x="51"/>
        <item x="27"/>
        <item x="68"/>
        <item x="40"/>
        <item x="3"/>
        <item x="64"/>
        <item x="32"/>
        <item x="22"/>
        <item x="88"/>
        <item x="23"/>
        <item x="4"/>
        <item x="57"/>
        <item x="24"/>
        <item x="108"/>
        <item x="35"/>
        <item x="58"/>
        <item x="106"/>
        <item x="82"/>
        <item x="54"/>
        <item x="36"/>
        <item x="109"/>
        <item x="11"/>
        <item x="107"/>
        <item x="110"/>
        <item x="56"/>
        <item x="50"/>
        <item x="19"/>
        <item x="100"/>
        <item x="34"/>
        <item x="112"/>
        <item x="77"/>
        <item x="83"/>
        <item x="121"/>
        <item x="7"/>
        <item x="102"/>
        <item x="9"/>
        <item x="80"/>
        <item x="92"/>
        <item x="0"/>
        <item x="39"/>
        <item x="1"/>
        <item x="15"/>
        <item x="79"/>
        <item x="87"/>
        <item x="74"/>
        <item x="96"/>
        <item x="84"/>
        <item x="120"/>
        <item x="75"/>
        <item x="31"/>
        <item x="66"/>
        <item x="38"/>
        <item x="21"/>
        <item x="49"/>
        <item x="29"/>
        <item x="55"/>
        <item x="116"/>
        <item x="97"/>
        <item x="95"/>
        <item x="12"/>
        <item x="8"/>
        <item x="70"/>
        <item x="76"/>
        <item x="10"/>
        <item x="111"/>
        <item x="16"/>
        <item x="44"/>
        <item x="103"/>
        <item x="85"/>
        <item x="43"/>
        <item x="52"/>
        <item x="59"/>
        <item x="42"/>
        <item x="104"/>
        <item x="73"/>
        <item x="71"/>
        <item x="119"/>
        <item x="46"/>
        <item x="67"/>
        <item x="72"/>
        <item x="81"/>
        <item x="33"/>
        <item x="2"/>
        <item x="86"/>
        <item x="53"/>
        <item x="118"/>
        <item x="26"/>
        <item x="117"/>
        <item x="18"/>
        <item x="115"/>
        <item x="113"/>
        <item x="89"/>
        <item x="98"/>
        <item x="91"/>
        <item x="90"/>
        <item x="41"/>
        <item x="61"/>
        <item x="69"/>
        <item x="94"/>
        <item x="17"/>
        <item x="101"/>
        <item x="65"/>
        <item x="28"/>
        <item x="62"/>
        <item x="48"/>
        <item x="63"/>
        <item x="13"/>
        <item x="6"/>
        <item x="78"/>
        <item x="99"/>
        <item x="105"/>
        <item x="93"/>
        <item x="30"/>
        <item x="20"/>
        <item x="60"/>
        <item x="114"/>
        <item t="default"/>
      </items>
    </pivotField>
    <pivotField dataField="1" numFmtId="1" showAll="0">
      <items count="39">
        <item x="3"/>
        <item x="4"/>
        <item x="16"/>
        <item x="15"/>
        <item x="7"/>
        <item x="20"/>
        <item x="1"/>
        <item x="11"/>
        <item x="2"/>
        <item x="31"/>
        <item x="0"/>
        <item x="12"/>
        <item x="30"/>
        <item x="9"/>
        <item x="27"/>
        <item x="18"/>
        <item x="34"/>
        <item x="17"/>
        <item x="28"/>
        <item x="21"/>
        <item x="32"/>
        <item x="6"/>
        <item x="19"/>
        <item x="22"/>
        <item x="24"/>
        <item x="8"/>
        <item x="13"/>
        <item x="35"/>
        <item x="26"/>
        <item x="5"/>
        <item x="25"/>
        <item x="36"/>
        <item x="29"/>
        <item x="14"/>
        <item x="33"/>
        <item x="10"/>
        <item x="23"/>
        <item x="37"/>
        <item t="default"/>
      </items>
    </pivotField>
    <pivotField numFmtId="1" showAll="0">
      <items count="104">
        <item x="3"/>
        <item x="14"/>
        <item x="21"/>
        <item x="98"/>
        <item x="24"/>
        <item x="4"/>
        <item x="20"/>
        <item x="26"/>
        <item x="93"/>
        <item x="17"/>
        <item x="13"/>
        <item x="88"/>
        <item x="58"/>
        <item x="0"/>
        <item x="62"/>
        <item x="22"/>
        <item x="59"/>
        <item x="67"/>
        <item x="90"/>
        <item x="101"/>
        <item x="8"/>
        <item x="81"/>
        <item x="37"/>
        <item x="89"/>
        <item x="85"/>
        <item x="80"/>
        <item x="92"/>
        <item x="1"/>
        <item x="12"/>
        <item x="83"/>
        <item x="32"/>
        <item x="28"/>
        <item x="33"/>
        <item x="30"/>
        <item x="54"/>
        <item x="87"/>
        <item x="23"/>
        <item x="44"/>
        <item x="50"/>
        <item x="73"/>
        <item x="66"/>
        <item x="45"/>
        <item x="36"/>
        <item x="7"/>
        <item x="51"/>
        <item x="78"/>
        <item x="76"/>
        <item x="38"/>
        <item x="84"/>
        <item x="60"/>
        <item x="31"/>
        <item x="6"/>
        <item x="29"/>
        <item x="91"/>
        <item x="100"/>
        <item x="40"/>
        <item x="63"/>
        <item x="19"/>
        <item x="65"/>
        <item x="41"/>
        <item x="39"/>
        <item x="55"/>
        <item x="77"/>
        <item x="42"/>
        <item x="15"/>
        <item x="96"/>
        <item x="97"/>
        <item x="75"/>
        <item x="52"/>
        <item x="16"/>
        <item x="10"/>
        <item x="102"/>
        <item x="9"/>
        <item x="99"/>
        <item x="68"/>
        <item x="61"/>
        <item x="56"/>
        <item x="2"/>
        <item x="57"/>
        <item x="69"/>
        <item x="43"/>
        <item x="72"/>
        <item x="94"/>
        <item x="35"/>
        <item x="47"/>
        <item x="34"/>
        <item x="70"/>
        <item x="11"/>
        <item x="53"/>
        <item x="25"/>
        <item x="49"/>
        <item x="48"/>
        <item x="5"/>
        <item x="82"/>
        <item x="79"/>
        <item x="71"/>
        <item x="74"/>
        <item x="64"/>
        <item x="86"/>
        <item x="27"/>
        <item x="95"/>
        <item x="46"/>
        <item x="18"/>
        <item t="default"/>
      </items>
    </pivotField>
    <pivotField numFmtId="2" showAll="0">
      <items count="146">
        <item x="19"/>
        <item x="119"/>
        <item x="110"/>
        <item x="136"/>
        <item x="28"/>
        <item x="22"/>
        <item x="12"/>
        <item x="124"/>
        <item x="98"/>
        <item x="88"/>
        <item x="59"/>
        <item x="105"/>
        <item x="68"/>
        <item x="140"/>
        <item x="138"/>
        <item x="40"/>
        <item x="62"/>
        <item x="97"/>
        <item x="55"/>
        <item x="78"/>
        <item x="39"/>
        <item x="73"/>
        <item x="15"/>
        <item x="130"/>
        <item x="141"/>
        <item x="77"/>
        <item x="29"/>
        <item x="115"/>
        <item x="8"/>
        <item x="46"/>
        <item x="85"/>
        <item x="75"/>
        <item x="32"/>
        <item x="13"/>
        <item x="63"/>
        <item x="10"/>
        <item x="57"/>
        <item x="52"/>
        <item x="96"/>
        <item x="129"/>
        <item x="95"/>
        <item x="53"/>
        <item x="79"/>
        <item x="114"/>
        <item x="112"/>
        <item x="50"/>
        <item x="37"/>
        <item x="27"/>
        <item x="132"/>
        <item x="86"/>
        <item x="43"/>
        <item x="6"/>
        <item x="7"/>
        <item x="18"/>
        <item x="116"/>
        <item x="122"/>
        <item x="133"/>
        <item x="102"/>
        <item x="121"/>
        <item x="24"/>
        <item x="65"/>
        <item x="117"/>
        <item x="69"/>
        <item x="30"/>
        <item x="38"/>
        <item x="107"/>
        <item x="83"/>
        <item x="44"/>
        <item x="137"/>
        <item x="56"/>
        <item x="135"/>
        <item x="80"/>
        <item x="90"/>
        <item x="82"/>
        <item x="34"/>
        <item x="87"/>
        <item x="49"/>
        <item x="104"/>
        <item x="21"/>
        <item x="41"/>
        <item x="11"/>
        <item x="91"/>
        <item x="66"/>
        <item x="1"/>
        <item x="144"/>
        <item x="100"/>
        <item x="76"/>
        <item x="93"/>
        <item x="25"/>
        <item x="51"/>
        <item x="36"/>
        <item x="109"/>
        <item x="42"/>
        <item x="94"/>
        <item x="9"/>
        <item x="5"/>
        <item x="0"/>
        <item x="23"/>
        <item x="118"/>
        <item x="20"/>
        <item x="108"/>
        <item x="61"/>
        <item x="81"/>
        <item x="71"/>
        <item x="131"/>
        <item x="2"/>
        <item x="17"/>
        <item x="4"/>
        <item x="58"/>
        <item x="45"/>
        <item x="103"/>
        <item x="106"/>
        <item x="60"/>
        <item x="111"/>
        <item x="26"/>
        <item x="89"/>
        <item x="48"/>
        <item x="64"/>
        <item x="35"/>
        <item x="134"/>
        <item x="70"/>
        <item x="120"/>
        <item x="3"/>
        <item x="127"/>
        <item x="128"/>
        <item x="113"/>
        <item x="101"/>
        <item x="84"/>
        <item x="125"/>
        <item x="14"/>
        <item x="72"/>
        <item x="47"/>
        <item x="126"/>
        <item x="31"/>
        <item x="33"/>
        <item x="142"/>
        <item x="123"/>
        <item x="92"/>
        <item x="99"/>
        <item x="67"/>
        <item x="54"/>
        <item x="74"/>
        <item x="16"/>
        <item x="139"/>
        <item x="143"/>
        <item t="default"/>
      </items>
    </pivotField>
    <pivotField numFmtId="2" showAll="0">
      <items count="178">
        <item x="32"/>
        <item x="115"/>
        <item x="167"/>
        <item x="113"/>
        <item x="22"/>
        <item x="74"/>
        <item x="125"/>
        <item x="176"/>
        <item x="63"/>
        <item x="96"/>
        <item x="11"/>
        <item x="41"/>
        <item x="94"/>
        <item x="4"/>
        <item x="39"/>
        <item x="16"/>
        <item x="54"/>
        <item x="111"/>
        <item x="20"/>
        <item x="163"/>
        <item x="128"/>
        <item x="67"/>
        <item x="33"/>
        <item x="142"/>
        <item x="172"/>
        <item x="157"/>
        <item x="61"/>
        <item x="52"/>
        <item x="71"/>
        <item x="82"/>
        <item x="51"/>
        <item x="6"/>
        <item x="87"/>
        <item x="58"/>
        <item x="93"/>
        <item x="119"/>
        <item x="57"/>
        <item x="101"/>
        <item x="72"/>
        <item x="21"/>
        <item x="50"/>
        <item x="147"/>
        <item x="174"/>
        <item x="150"/>
        <item x="37"/>
        <item x="53"/>
        <item x="134"/>
        <item x="152"/>
        <item x="25"/>
        <item x="17"/>
        <item x="88"/>
        <item x="120"/>
        <item x="169"/>
        <item x="151"/>
        <item x="95"/>
        <item x="165"/>
        <item x="13"/>
        <item x="132"/>
        <item x="1"/>
        <item x="124"/>
        <item x="78"/>
        <item x="18"/>
        <item x="73"/>
        <item x="148"/>
        <item x="8"/>
        <item x="175"/>
        <item x="170"/>
        <item x="153"/>
        <item x="90"/>
        <item x="126"/>
        <item x="77"/>
        <item x="86"/>
        <item x="40"/>
        <item x="100"/>
        <item x="30"/>
        <item x="62"/>
        <item x="42"/>
        <item x="141"/>
        <item x="29"/>
        <item x="59"/>
        <item x="2"/>
        <item x="80"/>
        <item x="159"/>
        <item x="0"/>
        <item x="109"/>
        <item x="127"/>
        <item x="130"/>
        <item x="84"/>
        <item x="7"/>
        <item x="69"/>
        <item x="55"/>
        <item x="117"/>
        <item x="114"/>
        <item x="46"/>
        <item x="133"/>
        <item x="143"/>
        <item x="122"/>
        <item x="145"/>
        <item x="75"/>
        <item x="106"/>
        <item x="137"/>
        <item x="5"/>
        <item x="103"/>
        <item x="23"/>
        <item x="129"/>
        <item x="104"/>
        <item x="99"/>
        <item x="10"/>
        <item x="108"/>
        <item x="168"/>
        <item x="112"/>
        <item x="161"/>
        <item x="28"/>
        <item x="173"/>
        <item x="98"/>
        <item x="45"/>
        <item x="43"/>
        <item x="64"/>
        <item x="140"/>
        <item x="146"/>
        <item x="156"/>
        <item x="27"/>
        <item x="83"/>
        <item x="26"/>
        <item x="171"/>
        <item x="139"/>
        <item x="31"/>
        <item x="14"/>
        <item x="89"/>
        <item x="92"/>
        <item x="160"/>
        <item x="19"/>
        <item x="79"/>
        <item x="164"/>
        <item x="34"/>
        <item x="123"/>
        <item x="135"/>
        <item x="85"/>
        <item x="3"/>
        <item x="66"/>
        <item x="70"/>
        <item x="166"/>
        <item x="9"/>
        <item x="154"/>
        <item x="110"/>
        <item x="144"/>
        <item x="15"/>
        <item x="81"/>
        <item x="118"/>
        <item x="36"/>
        <item x="12"/>
        <item x="149"/>
        <item x="47"/>
        <item x="136"/>
        <item x="65"/>
        <item x="35"/>
        <item x="38"/>
        <item x="162"/>
        <item x="44"/>
        <item x="68"/>
        <item x="60"/>
        <item x="138"/>
        <item x="97"/>
        <item x="158"/>
        <item x="56"/>
        <item x="105"/>
        <item x="91"/>
        <item x="155"/>
        <item x="121"/>
        <item x="107"/>
        <item x="102"/>
        <item x="131"/>
        <item x="116"/>
        <item x="24"/>
        <item x="76"/>
        <item x="48"/>
        <item x="49"/>
        <item t="default"/>
      </items>
    </pivotField>
    <pivotField showAll="0">
      <items count="156">
        <item x="19"/>
        <item x="127"/>
        <item x="119"/>
        <item x="143"/>
        <item x="28"/>
        <item x="105"/>
        <item x="12"/>
        <item x="122"/>
        <item x="133"/>
        <item x="69"/>
        <item x="60"/>
        <item x="96"/>
        <item x="145"/>
        <item x="112"/>
        <item x="63"/>
        <item x="83"/>
        <item x="15"/>
        <item x="41"/>
        <item x="137"/>
        <item x="148"/>
        <item x="56"/>
        <item x="79"/>
        <item x="80"/>
        <item x="47"/>
        <item x="90"/>
        <item x="124"/>
        <item x="97"/>
        <item x="77"/>
        <item x="29"/>
        <item x="95"/>
        <item x="93"/>
        <item x="149"/>
        <item x="115"/>
        <item x="136"/>
        <item x="128"/>
        <item x="58"/>
        <item x="75"/>
        <item x="8"/>
        <item x="10"/>
        <item x="139"/>
        <item x="103"/>
        <item x="27"/>
        <item x="150"/>
        <item x="37"/>
        <item x="24"/>
        <item x="121"/>
        <item x="44"/>
        <item x="131"/>
        <item x="92"/>
        <item x="13"/>
        <item x="113"/>
        <item x="130"/>
        <item x="134"/>
        <item x="7"/>
        <item x="30"/>
        <item x="34"/>
        <item x="111"/>
        <item x="85"/>
        <item x="86"/>
        <item x="125"/>
        <item x="40"/>
        <item x="22"/>
        <item x="64"/>
        <item x="45"/>
        <item x="52"/>
        <item x="98"/>
        <item x="18"/>
        <item x="70"/>
        <item x="42"/>
        <item x="53"/>
        <item x="48"/>
        <item x="66"/>
        <item x="81"/>
        <item x="39"/>
        <item x="147"/>
        <item x="43"/>
        <item x="114"/>
        <item x="32"/>
        <item x="101"/>
        <item x="9"/>
        <item x="6"/>
        <item x="141"/>
        <item x="107"/>
        <item x="144"/>
        <item x="78"/>
        <item x="82"/>
        <item x="5"/>
        <item x="100"/>
        <item x="109"/>
        <item x="23"/>
        <item x="54"/>
        <item x="59"/>
        <item x="46"/>
        <item x="91"/>
        <item x="153"/>
        <item x="126"/>
        <item x="0"/>
        <item x="118"/>
        <item x="1"/>
        <item x="62"/>
        <item x="102"/>
        <item x="26"/>
        <item x="73"/>
        <item x="35"/>
        <item x="21"/>
        <item x="94"/>
        <item x="129"/>
        <item x="51"/>
        <item x="84"/>
        <item x="2"/>
        <item x="25"/>
        <item x="72"/>
        <item x="140"/>
        <item x="123"/>
        <item x="135"/>
        <item x="3"/>
        <item x="38"/>
        <item x="154"/>
        <item x="36"/>
        <item x="108"/>
        <item x="116"/>
        <item x="117"/>
        <item x="14"/>
        <item x="74"/>
        <item x="17"/>
        <item x="104"/>
        <item x="71"/>
        <item x="110"/>
        <item x="120"/>
        <item x="33"/>
        <item x="87"/>
        <item x="65"/>
        <item x="89"/>
        <item x="88"/>
        <item x="142"/>
        <item x="138"/>
        <item x="11"/>
        <item x="57"/>
        <item x="20"/>
        <item x="151"/>
        <item x="50"/>
        <item x="99"/>
        <item x="61"/>
        <item x="49"/>
        <item x="4"/>
        <item x="76"/>
        <item x="68"/>
        <item x="132"/>
        <item x="67"/>
        <item x="55"/>
        <item x="16"/>
        <item x="152"/>
        <item x="146"/>
        <item x="106"/>
        <item x="31"/>
        <item t="default"/>
      </items>
    </pivotField>
    <pivotField numFmtId="1" showAll="0">
      <items count="184">
        <item x="179"/>
        <item x="75"/>
        <item x="68"/>
        <item x="139"/>
        <item x="49"/>
        <item x="94"/>
        <item x="69"/>
        <item x="164"/>
        <item x="59"/>
        <item x="17"/>
        <item x="140"/>
        <item x="5"/>
        <item x="100"/>
        <item x="19"/>
        <item x="14"/>
        <item x="146"/>
        <item x="113"/>
        <item x="63"/>
        <item x="166"/>
        <item x="24"/>
        <item x="30"/>
        <item x="11"/>
        <item x="55"/>
        <item x="114"/>
        <item x="28"/>
        <item x="38"/>
        <item x="73"/>
        <item x="27"/>
        <item x="110"/>
        <item x="97"/>
        <item x="177"/>
        <item x="160"/>
        <item x="162"/>
        <item x="22"/>
        <item x="108"/>
        <item x="141"/>
        <item x="142"/>
        <item x="4"/>
        <item x="165"/>
        <item x="86"/>
        <item x="3"/>
        <item x="34"/>
        <item x="45"/>
        <item x="64"/>
        <item x="174"/>
        <item x="26"/>
        <item x="170"/>
        <item x="157"/>
        <item x="123"/>
        <item x="98"/>
        <item x="95"/>
        <item x="88"/>
        <item x="118"/>
        <item x="167"/>
        <item x="117"/>
        <item x="121"/>
        <item x="18"/>
        <item x="180"/>
        <item x="138"/>
        <item x="147"/>
        <item x="182"/>
        <item x="57"/>
        <item x="78"/>
        <item x="101"/>
        <item x="72"/>
        <item x="149"/>
        <item x="99"/>
        <item x="56"/>
        <item x="29"/>
        <item x="115"/>
        <item x="153"/>
        <item x="44"/>
        <item x="107"/>
        <item x="155"/>
        <item x="39"/>
        <item x="96"/>
        <item x="104"/>
        <item x="106"/>
        <item x="54"/>
        <item x="150"/>
        <item x="122"/>
        <item x="163"/>
        <item x="181"/>
        <item x="130"/>
        <item x="67"/>
        <item x="1"/>
        <item x="77"/>
        <item x="43"/>
        <item x="33"/>
        <item x="48"/>
        <item x="102"/>
        <item x="91"/>
        <item x="109"/>
        <item x="62"/>
        <item x="71"/>
        <item x="161"/>
        <item x="74"/>
        <item x="103"/>
        <item x="60"/>
        <item x="40"/>
        <item x="21"/>
        <item x="105"/>
        <item x="178"/>
        <item x="25"/>
        <item x="144"/>
        <item x="126"/>
        <item x="125"/>
        <item x="58"/>
        <item x="156"/>
        <item x="41"/>
        <item x="53"/>
        <item x="176"/>
        <item x="8"/>
        <item x="47"/>
        <item x="90"/>
        <item x="152"/>
        <item x="46"/>
        <item x="42"/>
        <item x="31"/>
        <item x="175"/>
        <item x="116"/>
        <item x="119"/>
        <item x="9"/>
        <item x="112"/>
        <item x="145"/>
        <item x="2"/>
        <item x="87"/>
        <item x="83"/>
        <item x="93"/>
        <item x="10"/>
        <item x="66"/>
        <item x="159"/>
        <item x="76"/>
        <item x="7"/>
        <item x="0"/>
        <item x="12"/>
        <item x="124"/>
        <item x="136"/>
        <item x="70"/>
        <item x="133"/>
        <item x="148"/>
        <item x="134"/>
        <item x="84"/>
        <item x="120"/>
        <item x="50"/>
        <item x="129"/>
        <item x="172"/>
        <item x="92"/>
        <item x="171"/>
        <item x="20"/>
        <item x="16"/>
        <item x="15"/>
        <item x="127"/>
        <item x="132"/>
        <item x="89"/>
        <item x="51"/>
        <item x="158"/>
        <item x="36"/>
        <item x="80"/>
        <item x="52"/>
        <item x="82"/>
        <item x="135"/>
        <item x="32"/>
        <item x="6"/>
        <item x="65"/>
        <item x="37"/>
        <item x="13"/>
        <item x="61"/>
        <item x="168"/>
        <item x="85"/>
        <item x="143"/>
        <item x="154"/>
        <item x="128"/>
        <item x="81"/>
        <item x="173"/>
        <item x="35"/>
        <item x="111"/>
        <item x="131"/>
        <item x="151"/>
        <item x="137"/>
        <item x="79"/>
        <item x="23"/>
        <item x="169"/>
        <item t="default"/>
      </items>
    </pivotField>
    <pivotField numFmtId="1" showAll="0">
      <items count="163">
        <item x="82"/>
        <item x="24"/>
        <item x="64"/>
        <item x="105"/>
        <item x="14"/>
        <item x="67"/>
        <item x="132"/>
        <item x="104"/>
        <item x="17"/>
        <item x="19"/>
        <item x="5"/>
        <item x="146"/>
        <item x="53"/>
        <item x="52"/>
        <item x="72"/>
        <item x="37"/>
        <item x="44"/>
        <item x="3"/>
        <item x="100"/>
        <item x="88"/>
        <item x="33"/>
        <item x="26"/>
        <item x="99"/>
        <item x="47"/>
        <item x="118"/>
        <item x="80"/>
        <item x="148"/>
        <item x="32"/>
        <item x="68"/>
        <item x="29"/>
        <item x="27"/>
        <item x="56"/>
        <item x="153"/>
        <item x="91"/>
        <item x="135"/>
        <item x="93"/>
        <item x="150"/>
        <item x="140"/>
        <item x="43"/>
        <item x="149"/>
        <item x="138"/>
        <item x="60"/>
        <item x="97"/>
        <item x="71"/>
        <item x="128"/>
        <item x="77"/>
        <item x="134"/>
        <item x="156"/>
        <item x="90"/>
        <item x="145"/>
        <item x="18"/>
        <item x="108"/>
        <item x="4"/>
        <item x="11"/>
        <item x="59"/>
        <item x="63"/>
        <item x="22"/>
        <item x="127"/>
        <item x="28"/>
        <item x="101"/>
        <item x="69"/>
        <item x="112"/>
        <item x="46"/>
        <item x="147"/>
        <item x="38"/>
        <item x="98"/>
        <item x="137"/>
        <item x="39"/>
        <item x="142"/>
        <item x="141"/>
        <item x="66"/>
        <item x="54"/>
        <item x="109"/>
        <item x="42"/>
        <item x="96"/>
        <item x="94"/>
        <item x="106"/>
        <item x="1"/>
        <item x="0"/>
        <item x="58"/>
        <item x="119"/>
        <item x="9"/>
        <item x="130"/>
        <item x="144"/>
        <item x="92"/>
        <item x="110"/>
        <item x="30"/>
        <item x="114"/>
        <item x="89"/>
        <item x="161"/>
        <item x="15"/>
        <item x="35"/>
        <item x="160"/>
        <item x="111"/>
        <item x="41"/>
        <item x="143"/>
        <item x="45"/>
        <item x="123"/>
        <item x="85"/>
        <item x="79"/>
        <item x="25"/>
        <item x="159"/>
        <item x="154"/>
        <item x="21"/>
        <item x="103"/>
        <item x="16"/>
        <item x="7"/>
        <item x="95"/>
        <item x="12"/>
        <item x="10"/>
        <item x="124"/>
        <item x="133"/>
        <item x="51"/>
        <item x="8"/>
        <item x="131"/>
        <item x="122"/>
        <item x="107"/>
        <item x="31"/>
        <item x="158"/>
        <item x="61"/>
        <item x="113"/>
        <item x="157"/>
        <item x="50"/>
        <item x="84"/>
        <item x="2"/>
        <item x="40"/>
        <item x="55"/>
        <item x="86"/>
        <item x="155"/>
        <item x="70"/>
        <item x="62"/>
        <item x="81"/>
        <item x="87"/>
        <item x="65"/>
        <item x="57"/>
        <item x="151"/>
        <item x="49"/>
        <item x="117"/>
        <item x="139"/>
        <item x="125"/>
        <item x="116"/>
        <item x="115"/>
        <item x="20"/>
        <item x="48"/>
        <item x="83"/>
        <item x="78"/>
        <item x="74"/>
        <item x="121"/>
        <item x="34"/>
        <item x="129"/>
        <item x="75"/>
        <item x="76"/>
        <item x="13"/>
        <item x="120"/>
        <item x="6"/>
        <item x="126"/>
        <item x="102"/>
        <item x="36"/>
        <item x="136"/>
        <item x="23"/>
        <item x="73"/>
        <item x="152"/>
        <item t="default"/>
      </items>
    </pivotField>
    <pivotField numFmtId="2" showAll="0">
      <items count="170">
        <item x="82"/>
        <item x="23"/>
        <item x="114"/>
        <item x="67"/>
        <item x="103"/>
        <item x="77"/>
        <item x="53"/>
        <item x="79"/>
        <item x="107"/>
        <item x="47"/>
        <item x="56"/>
        <item x="72"/>
        <item x="119"/>
        <item x="32"/>
        <item x="98"/>
        <item x="35"/>
        <item x="154"/>
        <item x="100"/>
        <item x="14"/>
        <item x="161"/>
        <item x="151"/>
        <item x="61"/>
        <item x="0"/>
        <item x="143"/>
        <item x="44"/>
        <item x="89"/>
        <item x="46"/>
        <item x="128"/>
        <item x="116"/>
        <item x="113"/>
        <item x="71"/>
        <item x="3"/>
        <item x="26"/>
        <item x="148"/>
        <item x="145"/>
        <item x="147"/>
        <item x="157"/>
        <item x="57"/>
        <item x="121"/>
        <item x="31"/>
        <item x="25"/>
        <item x="160"/>
        <item x="43"/>
        <item x="101"/>
        <item x="15"/>
        <item x="94"/>
        <item x="33"/>
        <item x="13"/>
        <item x="149"/>
        <item x="133"/>
        <item x="69"/>
        <item x="9"/>
        <item x="139"/>
        <item x="146"/>
        <item x="132"/>
        <item x="166"/>
        <item x="34"/>
        <item x="153"/>
        <item x="50"/>
        <item x="39"/>
        <item x="102"/>
        <item x="112"/>
        <item x="130"/>
        <item x="88"/>
        <item x="63"/>
        <item x="92"/>
        <item x="80"/>
        <item x="159"/>
        <item x="138"/>
        <item x="52"/>
        <item x="140"/>
        <item x="30"/>
        <item x="37"/>
        <item x="135"/>
        <item x="75"/>
        <item x="106"/>
        <item x="142"/>
        <item x="7"/>
        <item x="66"/>
        <item x="127"/>
        <item x="64"/>
        <item x="86"/>
        <item x="156"/>
        <item x="49"/>
        <item x="125"/>
        <item x="12"/>
        <item x="136"/>
        <item x="10"/>
        <item x="115"/>
        <item x="41"/>
        <item x="60"/>
        <item x="105"/>
        <item x="18"/>
        <item x="45"/>
        <item x="141"/>
        <item x="118"/>
        <item x="17"/>
        <item x="117"/>
        <item x="155"/>
        <item x="42"/>
        <item x="58"/>
        <item x="158"/>
        <item x="95"/>
        <item x="38"/>
        <item x="99"/>
        <item x="28"/>
        <item x="120"/>
        <item x="110"/>
        <item x="122"/>
        <item x="162"/>
        <item x="5"/>
        <item x="104"/>
        <item x="137"/>
        <item x="74"/>
        <item x="70"/>
        <item x="83"/>
        <item x="22"/>
        <item x="131"/>
        <item x="68"/>
        <item x="134"/>
        <item x="65"/>
        <item x="19"/>
        <item x="1"/>
        <item x="27"/>
        <item x="2"/>
        <item x="62"/>
        <item x="76"/>
        <item x="48"/>
        <item x="109"/>
        <item x="24"/>
        <item x="126"/>
        <item x="165"/>
        <item x="16"/>
        <item x="129"/>
        <item x="144"/>
        <item x="81"/>
        <item x="124"/>
        <item x="97"/>
        <item x="87"/>
        <item x="78"/>
        <item x="8"/>
        <item x="51"/>
        <item x="163"/>
        <item x="20"/>
        <item x="36"/>
        <item x="85"/>
        <item x="54"/>
        <item x="4"/>
        <item x="6"/>
        <item x="73"/>
        <item x="152"/>
        <item x="164"/>
        <item x="84"/>
        <item x="29"/>
        <item x="108"/>
        <item x="90"/>
        <item x="96"/>
        <item x="167"/>
        <item x="111"/>
        <item x="40"/>
        <item x="150"/>
        <item x="91"/>
        <item x="21"/>
        <item x="55"/>
        <item x="93"/>
        <item x="168"/>
        <item x="11"/>
        <item x="59"/>
        <item x="123"/>
        <item t="default"/>
      </items>
    </pivotField>
    <pivotField axis="axisRow" showAll="0">
      <items count="7">
        <item x="2"/>
        <item x="3"/>
        <item x="0"/>
        <item x="1"/>
        <item x="5"/>
        <item x="4"/>
        <item t="default"/>
      </items>
    </pivotField>
  </pivotFields>
  <rowFields count="1">
    <field x="14"/>
  </rowFields>
  <rowItems count="7">
    <i>
      <x/>
    </i>
    <i>
      <x v="1"/>
    </i>
    <i>
      <x v="2"/>
    </i>
    <i>
      <x v="3"/>
    </i>
    <i>
      <x v="4"/>
    </i>
    <i>
      <x v="5"/>
    </i>
    <i t="grand">
      <x/>
    </i>
  </rowItems>
  <colItems count="1">
    <i/>
  </colItems>
  <dataFields count="1">
    <dataField name="Sum of New deaths" fld="6" baseField="0" baseItem="0"/>
  </dataFields>
  <chartFormats count="2">
    <chartFormat chart="25" format="0"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AB72B51-7D46-4355-B096-9A4F72611D13}" name="PivotTable5"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41:B48" firstHeaderRow="1" firstDataRow="1" firstDataCol="1"/>
  <pivotFields count="15">
    <pivotField showAll="0">
      <items count="1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4"/>
        <item x="175"/>
        <item x="176"/>
        <item x="177"/>
        <item x="178"/>
        <item x="173"/>
        <item x="179"/>
        <item x="180"/>
        <item x="181"/>
        <item x="182"/>
        <item x="183"/>
        <item x="184"/>
        <item x="185"/>
        <item x="186"/>
        <item t="default"/>
      </items>
    </pivotField>
    <pivotField numFmtId="1" showAll="0">
      <items count="185">
        <item x="180"/>
        <item x="75"/>
        <item x="68"/>
        <item x="139"/>
        <item x="49"/>
        <item x="94"/>
        <item x="69"/>
        <item x="140"/>
        <item x="59"/>
        <item x="17"/>
        <item x="141"/>
        <item x="129"/>
        <item x="5"/>
        <item x="19"/>
        <item x="14"/>
        <item x="147"/>
        <item x="112"/>
        <item x="24"/>
        <item x="168"/>
        <item x="30"/>
        <item x="55"/>
        <item x="113"/>
        <item x="63"/>
        <item x="109"/>
        <item x="27"/>
        <item x="38"/>
        <item x="28"/>
        <item x="11"/>
        <item x="73"/>
        <item x="179"/>
        <item x="163"/>
        <item x="97"/>
        <item x="165"/>
        <item x="162"/>
        <item x="142"/>
        <item x="107"/>
        <item x="22"/>
        <item x="86"/>
        <item x="143"/>
        <item x="167"/>
        <item x="3"/>
        <item x="34"/>
        <item x="4"/>
        <item x="45"/>
        <item x="26"/>
        <item x="172"/>
        <item x="122"/>
        <item x="64"/>
        <item x="98"/>
        <item x="88"/>
        <item x="176"/>
        <item x="95"/>
        <item x="169"/>
        <item x="159"/>
        <item x="120"/>
        <item x="181"/>
        <item x="116"/>
        <item x="18"/>
        <item x="148"/>
        <item x="117"/>
        <item x="78"/>
        <item x="138"/>
        <item x="72"/>
        <item x="100"/>
        <item x="56"/>
        <item x="151"/>
        <item x="150"/>
        <item x="155"/>
        <item x="57"/>
        <item x="29"/>
        <item x="106"/>
        <item x="44"/>
        <item x="183"/>
        <item x="157"/>
        <item x="99"/>
        <item x="114"/>
        <item x="54"/>
        <item x="152"/>
        <item x="39"/>
        <item x="166"/>
        <item x="105"/>
        <item x="121"/>
        <item x="103"/>
        <item x="96"/>
        <item x="67"/>
        <item x="77"/>
        <item x="130"/>
        <item x="182"/>
        <item x="33"/>
        <item x="1"/>
        <item x="43"/>
        <item x="48"/>
        <item x="108"/>
        <item x="101"/>
        <item x="71"/>
        <item x="62"/>
        <item x="164"/>
        <item x="74"/>
        <item x="60"/>
        <item x="91"/>
        <item x="40"/>
        <item x="104"/>
        <item x="125"/>
        <item x="102"/>
        <item x="145"/>
        <item x="124"/>
        <item x="21"/>
        <item x="25"/>
        <item x="158"/>
        <item x="47"/>
        <item x="154"/>
        <item x="58"/>
        <item x="53"/>
        <item x="8"/>
        <item x="46"/>
        <item x="42"/>
        <item x="41"/>
        <item x="178"/>
        <item x="31"/>
        <item x="90"/>
        <item x="118"/>
        <item x="9"/>
        <item x="115"/>
        <item x="177"/>
        <item x="111"/>
        <item x="146"/>
        <item x="83"/>
        <item x="2"/>
        <item x="10"/>
        <item x="87"/>
        <item x="93"/>
        <item x="66"/>
        <item x="161"/>
        <item x="0"/>
        <item x="7"/>
        <item x="12"/>
        <item x="76"/>
        <item x="123"/>
        <item x="133"/>
        <item x="70"/>
        <item x="136"/>
        <item x="134"/>
        <item x="149"/>
        <item x="119"/>
        <item x="174"/>
        <item x="128"/>
        <item x="84"/>
        <item x="50"/>
        <item x="92"/>
        <item x="16"/>
        <item x="173"/>
        <item x="15"/>
        <item x="20"/>
        <item x="126"/>
        <item x="160"/>
        <item x="51"/>
        <item x="132"/>
        <item x="89"/>
        <item x="36"/>
        <item x="52"/>
        <item x="80"/>
        <item x="135"/>
        <item x="82"/>
        <item x="32"/>
        <item x="6"/>
        <item x="65"/>
        <item x="61"/>
        <item x="13"/>
        <item x="170"/>
        <item x="85"/>
        <item x="37"/>
        <item x="144"/>
        <item x="156"/>
        <item x="127"/>
        <item x="81"/>
        <item x="175"/>
        <item x="35"/>
        <item x="131"/>
        <item x="110"/>
        <item x="153"/>
        <item x="137"/>
        <item x="79"/>
        <item x="23"/>
        <item x="171"/>
        <item t="default"/>
      </items>
    </pivotField>
    <pivotField numFmtId="1" showAll="0">
      <items count="151">
        <item x="19"/>
        <item x="26"/>
        <item x="17"/>
        <item x="5"/>
        <item x="96"/>
        <item x="115"/>
        <item x="25"/>
        <item x="14"/>
        <item x="56"/>
        <item x="92"/>
        <item x="68"/>
        <item x="11"/>
        <item x="83"/>
        <item x="117"/>
        <item x="91"/>
        <item x="57"/>
        <item x="137"/>
        <item x="41"/>
        <item x="64"/>
        <item x="136"/>
        <item x="27"/>
        <item x="131"/>
        <item x="63"/>
        <item x="122"/>
        <item x="123"/>
        <item x="82"/>
        <item x="51"/>
        <item x="18"/>
        <item x="149"/>
        <item x="134"/>
        <item x="4"/>
        <item x="116"/>
        <item x="107"/>
        <item x="62"/>
        <item x="128"/>
        <item x="98"/>
        <item x="55"/>
        <item x="138"/>
        <item x="49"/>
        <item x="3"/>
        <item x="24"/>
        <item x="35"/>
        <item x="44"/>
        <item x="30"/>
        <item x="135"/>
        <item x="85"/>
        <item x="121"/>
        <item x="50"/>
        <item x="84"/>
        <item x="31"/>
        <item x="146"/>
        <item x="86"/>
        <item x="40"/>
        <item x="88"/>
        <item x="125"/>
        <item x="38"/>
        <item x="89"/>
        <item x="100"/>
        <item x="87"/>
        <item x="37"/>
        <item x="124"/>
        <item x="144"/>
        <item x="90"/>
        <item x="39"/>
        <item x="148"/>
        <item x="12"/>
        <item x="1"/>
        <item x="145"/>
        <item x="93"/>
        <item x="65"/>
        <item x="112"/>
        <item x="8"/>
        <item x="59"/>
        <item x="79"/>
        <item x="119"/>
        <item x="60"/>
        <item x="36"/>
        <item x="52"/>
        <item x="103"/>
        <item x="78"/>
        <item x="21"/>
        <item x="127"/>
        <item x="97"/>
        <item x="53"/>
        <item x="142"/>
        <item x="23"/>
        <item x="42"/>
        <item x="28"/>
        <item x="104"/>
        <item x="48"/>
        <item x="10"/>
        <item x="80"/>
        <item x="102"/>
        <item x="74"/>
        <item x="147"/>
        <item x="15"/>
        <item x="120"/>
        <item x="77"/>
        <item x="67"/>
        <item x="43"/>
        <item x="7"/>
        <item x="9"/>
        <item x="130"/>
        <item x="95"/>
        <item x="101"/>
        <item x="76"/>
        <item x="45"/>
        <item x="2"/>
        <item x="66"/>
        <item x="0"/>
        <item x="81"/>
        <item x="106"/>
        <item x="141"/>
        <item x="110"/>
        <item x="111"/>
        <item x="61"/>
        <item x="73"/>
        <item x="109"/>
        <item x="133"/>
        <item x="113"/>
        <item x="20"/>
        <item x="118"/>
        <item x="13"/>
        <item x="6"/>
        <item x="72"/>
        <item x="47"/>
        <item x="33"/>
        <item x="70"/>
        <item x="46"/>
        <item x="139"/>
        <item x="132"/>
        <item x="105"/>
        <item x="99"/>
        <item x="126"/>
        <item x="34"/>
        <item x="29"/>
        <item x="58"/>
        <item x="32"/>
        <item x="16"/>
        <item x="114"/>
        <item x="71"/>
        <item x="108"/>
        <item x="129"/>
        <item x="54"/>
        <item x="69"/>
        <item x="75"/>
        <item x="94"/>
        <item x="143"/>
        <item x="22"/>
        <item x="140"/>
        <item t="default"/>
      </items>
    </pivotField>
    <pivotField numFmtId="1" showAll="0">
      <items count="179">
        <item x="32"/>
        <item x="174"/>
        <item x="127"/>
        <item x="73"/>
        <item x="67"/>
        <item x="137"/>
        <item x="49"/>
        <item x="92"/>
        <item x="138"/>
        <item x="68"/>
        <item x="17"/>
        <item x="139"/>
        <item x="22"/>
        <item x="5"/>
        <item x="62"/>
        <item x="98"/>
        <item x="19"/>
        <item x="11"/>
        <item x="14"/>
        <item x="115"/>
        <item x="111"/>
        <item x="95"/>
        <item x="24"/>
        <item x="30"/>
        <item x="71"/>
        <item x="159"/>
        <item x="117"/>
        <item x="55"/>
        <item x="112"/>
        <item x="4"/>
        <item x="27"/>
        <item x="28"/>
        <item x="38"/>
        <item x="108"/>
        <item x="172"/>
        <item x="157"/>
        <item x="177"/>
        <item x="97"/>
        <item x="161"/>
        <item x="96"/>
        <item x="140"/>
        <item x="106"/>
        <item x="84"/>
        <item x="141"/>
        <item x="3"/>
        <item x="113"/>
        <item x="34"/>
        <item x="39"/>
        <item x="175"/>
        <item x="54"/>
        <item x="45"/>
        <item x="63"/>
        <item x="155"/>
        <item x="26"/>
        <item x="169"/>
        <item x="136"/>
        <item x="165"/>
        <item x="57"/>
        <item x="120"/>
        <item x="18"/>
        <item x="86"/>
        <item x="93"/>
        <item x="162"/>
        <item x="151"/>
        <item x="144"/>
        <item x="66"/>
        <item x="168"/>
        <item x="118"/>
        <item x="148"/>
        <item x="33"/>
        <item x="29"/>
        <item x="146"/>
        <item x="99"/>
        <item x="102"/>
        <item x="94"/>
        <item x="147"/>
        <item x="76"/>
        <item x="105"/>
        <item x="56"/>
        <item x="153"/>
        <item x="44"/>
        <item x="119"/>
        <item x="104"/>
        <item x="1"/>
        <item x="176"/>
        <item x="128"/>
        <item x="160"/>
        <item x="75"/>
        <item x="173"/>
        <item x="41"/>
        <item x="43"/>
        <item x="89"/>
        <item x="72"/>
        <item x="107"/>
        <item x="61"/>
        <item x="100"/>
        <item x="21"/>
        <item x="48"/>
        <item x="74"/>
        <item x="122"/>
        <item x="25"/>
        <item x="40"/>
        <item x="154"/>
        <item x="158"/>
        <item x="70"/>
        <item x="101"/>
        <item x="58"/>
        <item x="143"/>
        <item x="59"/>
        <item x="53"/>
        <item x="88"/>
        <item x="103"/>
        <item x="123"/>
        <item x="8"/>
        <item x="171"/>
        <item x="42"/>
        <item x="46"/>
        <item x="170"/>
        <item x="47"/>
        <item x="150"/>
        <item x="116"/>
        <item x="31"/>
        <item x="110"/>
        <item x="114"/>
        <item x="16"/>
        <item x="121"/>
        <item x="9"/>
        <item x="2"/>
        <item x="91"/>
        <item x="20"/>
        <item x="85"/>
        <item x="10"/>
        <item x="81"/>
        <item x="0"/>
        <item x="134"/>
        <item x="130"/>
        <item x="7"/>
        <item x="82"/>
        <item x="65"/>
        <item x="50"/>
        <item x="156"/>
        <item x="69"/>
        <item x="131"/>
        <item x="52"/>
        <item x="51"/>
        <item x="126"/>
        <item x="132"/>
        <item x="12"/>
        <item x="166"/>
        <item x="145"/>
        <item x="167"/>
        <item x="87"/>
        <item x="90"/>
        <item x="124"/>
        <item x="78"/>
        <item x="15"/>
        <item x="6"/>
        <item x="80"/>
        <item x="36"/>
        <item x="60"/>
        <item x="133"/>
        <item x="13"/>
        <item x="37"/>
        <item x="152"/>
        <item x="64"/>
        <item x="83"/>
        <item x="163"/>
        <item x="142"/>
        <item x="125"/>
        <item x="79"/>
        <item x="129"/>
        <item x="149"/>
        <item x="109"/>
        <item x="35"/>
        <item x="135"/>
        <item x="77"/>
        <item x="164"/>
        <item x="23"/>
        <item t="default"/>
      </items>
    </pivotField>
    <pivotField numFmtId="1" showAll="0">
      <items count="174">
        <item x="24"/>
        <item x="65"/>
        <item x="104"/>
        <item x="94"/>
        <item x="107"/>
        <item x="14"/>
        <item x="157"/>
        <item x="19"/>
        <item x="152"/>
        <item x="5"/>
        <item x="37"/>
        <item x="17"/>
        <item x="73"/>
        <item x="47"/>
        <item x="102"/>
        <item x="116"/>
        <item x="33"/>
        <item x="54"/>
        <item x="123"/>
        <item x="3"/>
        <item x="168"/>
        <item x="108"/>
        <item x="53"/>
        <item x="137"/>
        <item x="27"/>
        <item x="29"/>
        <item x="43"/>
        <item x="133"/>
        <item x="26"/>
        <item x="83"/>
        <item x="119"/>
        <item x="155"/>
        <item x="81"/>
        <item x="161"/>
        <item x="89"/>
        <item x="57"/>
        <item x="99"/>
        <item x="69"/>
        <item x="44"/>
        <item x="61"/>
        <item x="165"/>
        <item x="141"/>
        <item x="158"/>
        <item x="156"/>
        <item x="60"/>
        <item x="11"/>
        <item x="154"/>
        <item x="95"/>
        <item x="91"/>
        <item x="170"/>
        <item x="138"/>
        <item x="92"/>
        <item x="101"/>
        <item x="72"/>
        <item x="149"/>
        <item x="140"/>
        <item x="46"/>
        <item x="151"/>
        <item x="4"/>
        <item x="147"/>
        <item x="22"/>
        <item x="18"/>
        <item x="67"/>
        <item x="28"/>
        <item x="78"/>
        <item x="42"/>
        <item x="100"/>
        <item x="115"/>
        <item x="144"/>
        <item x="132"/>
        <item x="145"/>
        <item x="68"/>
        <item x="153"/>
        <item x="55"/>
        <item x="96"/>
        <item x="103"/>
        <item x="142"/>
        <item x="171"/>
        <item x="9"/>
        <item x="124"/>
        <item x="111"/>
        <item x="112"/>
        <item x="98"/>
        <item x="1"/>
        <item x="109"/>
        <item x="90"/>
        <item x="172"/>
        <item x="52"/>
        <item x="30"/>
        <item x="93"/>
        <item x="38"/>
        <item x="59"/>
        <item x="64"/>
        <item x="70"/>
        <item x="39"/>
        <item x="32"/>
        <item x="135"/>
        <item x="129"/>
        <item x="86"/>
        <item x="12"/>
        <item x="35"/>
        <item x="97"/>
        <item x="63"/>
        <item x="45"/>
        <item x="110"/>
        <item x="118"/>
        <item x="25"/>
        <item x="148"/>
        <item x="113"/>
        <item x="139"/>
        <item x="41"/>
        <item x="21"/>
        <item x="8"/>
        <item x="167"/>
        <item x="15"/>
        <item x="106"/>
        <item x="163"/>
        <item x="10"/>
        <item x="169"/>
        <item x="51"/>
        <item x="62"/>
        <item x="56"/>
        <item x="2"/>
        <item x="82"/>
        <item x="127"/>
        <item x="87"/>
        <item x="166"/>
        <item x="0"/>
        <item x="85"/>
        <item x="7"/>
        <item x="88"/>
        <item x="159"/>
        <item x="66"/>
        <item x="40"/>
        <item x="80"/>
        <item x="128"/>
        <item x="130"/>
        <item x="34"/>
        <item x="120"/>
        <item x="117"/>
        <item x="76"/>
        <item x="136"/>
        <item x="122"/>
        <item x="121"/>
        <item x="162"/>
        <item x="84"/>
        <item x="77"/>
        <item x="48"/>
        <item x="71"/>
        <item x="79"/>
        <item x="75"/>
        <item x="16"/>
        <item x="49"/>
        <item x="134"/>
        <item x="20"/>
        <item x="114"/>
        <item x="105"/>
        <item x="50"/>
        <item x="126"/>
        <item x="150"/>
        <item x="6"/>
        <item x="146"/>
        <item x="13"/>
        <item x="125"/>
        <item x="31"/>
        <item x="58"/>
        <item x="36"/>
        <item x="143"/>
        <item x="131"/>
        <item x="164"/>
        <item x="74"/>
        <item x="23"/>
        <item x="160"/>
        <item t="default"/>
      </items>
    </pivotField>
    <pivotField dataField="1" numFmtId="1" showAll="0">
      <items count="123">
        <item x="14"/>
        <item x="25"/>
        <item x="45"/>
        <item x="37"/>
        <item x="5"/>
        <item x="47"/>
        <item x="51"/>
        <item x="27"/>
        <item x="68"/>
        <item x="40"/>
        <item x="3"/>
        <item x="64"/>
        <item x="32"/>
        <item x="22"/>
        <item x="88"/>
        <item x="23"/>
        <item x="4"/>
        <item x="57"/>
        <item x="24"/>
        <item x="108"/>
        <item x="35"/>
        <item x="58"/>
        <item x="106"/>
        <item x="82"/>
        <item x="54"/>
        <item x="36"/>
        <item x="109"/>
        <item x="11"/>
        <item x="107"/>
        <item x="110"/>
        <item x="56"/>
        <item x="50"/>
        <item x="19"/>
        <item x="100"/>
        <item x="34"/>
        <item x="112"/>
        <item x="77"/>
        <item x="83"/>
        <item x="121"/>
        <item x="7"/>
        <item x="102"/>
        <item x="9"/>
        <item x="80"/>
        <item x="92"/>
        <item x="0"/>
        <item x="39"/>
        <item x="1"/>
        <item x="15"/>
        <item x="79"/>
        <item x="87"/>
        <item x="74"/>
        <item x="96"/>
        <item x="84"/>
        <item x="120"/>
        <item x="75"/>
        <item x="31"/>
        <item x="66"/>
        <item x="38"/>
        <item x="21"/>
        <item x="49"/>
        <item x="29"/>
        <item x="55"/>
        <item x="116"/>
        <item x="97"/>
        <item x="95"/>
        <item x="12"/>
        <item x="8"/>
        <item x="70"/>
        <item x="76"/>
        <item x="10"/>
        <item x="111"/>
        <item x="16"/>
        <item x="44"/>
        <item x="103"/>
        <item x="85"/>
        <item x="43"/>
        <item x="52"/>
        <item x="59"/>
        <item x="42"/>
        <item x="104"/>
        <item x="73"/>
        <item x="71"/>
        <item x="119"/>
        <item x="46"/>
        <item x="67"/>
        <item x="72"/>
        <item x="81"/>
        <item x="33"/>
        <item x="2"/>
        <item x="86"/>
        <item x="53"/>
        <item x="118"/>
        <item x="26"/>
        <item x="117"/>
        <item x="18"/>
        <item x="115"/>
        <item x="113"/>
        <item x="89"/>
        <item x="98"/>
        <item x="91"/>
        <item x="90"/>
        <item x="41"/>
        <item x="61"/>
        <item x="69"/>
        <item x="94"/>
        <item x="17"/>
        <item x="101"/>
        <item x="65"/>
        <item x="28"/>
        <item x="62"/>
        <item x="48"/>
        <item x="63"/>
        <item x="13"/>
        <item x="6"/>
        <item x="78"/>
        <item x="99"/>
        <item x="105"/>
        <item x="93"/>
        <item x="30"/>
        <item x="20"/>
        <item x="60"/>
        <item x="114"/>
        <item t="default"/>
      </items>
    </pivotField>
    <pivotField numFmtId="1" showAll="0">
      <items count="39">
        <item x="3"/>
        <item x="4"/>
        <item x="16"/>
        <item x="15"/>
        <item x="7"/>
        <item x="20"/>
        <item x="1"/>
        <item x="11"/>
        <item x="2"/>
        <item x="31"/>
        <item x="0"/>
        <item x="12"/>
        <item x="30"/>
        <item x="9"/>
        <item x="27"/>
        <item x="18"/>
        <item x="34"/>
        <item x="17"/>
        <item x="28"/>
        <item x="21"/>
        <item x="32"/>
        <item x="6"/>
        <item x="19"/>
        <item x="22"/>
        <item x="24"/>
        <item x="8"/>
        <item x="13"/>
        <item x="35"/>
        <item x="26"/>
        <item x="5"/>
        <item x="25"/>
        <item x="36"/>
        <item x="29"/>
        <item x="14"/>
        <item x="33"/>
        <item x="10"/>
        <item x="23"/>
        <item x="37"/>
        <item t="default"/>
      </items>
    </pivotField>
    <pivotField numFmtId="1" showAll="0">
      <items count="104">
        <item x="3"/>
        <item x="14"/>
        <item x="21"/>
        <item x="98"/>
        <item x="24"/>
        <item x="4"/>
        <item x="20"/>
        <item x="26"/>
        <item x="93"/>
        <item x="17"/>
        <item x="13"/>
        <item x="88"/>
        <item x="58"/>
        <item x="0"/>
        <item x="62"/>
        <item x="22"/>
        <item x="59"/>
        <item x="67"/>
        <item x="90"/>
        <item x="101"/>
        <item x="8"/>
        <item x="81"/>
        <item x="37"/>
        <item x="89"/>
        <item x="85"/>
        <item x="80"/>
        <item x="92"/>
        <item x="1"/>
        <item x="12"/>
        <item x="83"/>
        <item x="32"/>
        <item x="28"/>
        <item x="33"/>
        <item x="30"/>
        <item x="54"/>
        <item x="87"/>
        <item x="23"/>
        <item x="44"/>
        <item x="50"/>
        <item x="73"/>
        <item x="66"/>
        <item x="45"/>
        <item x="36"/>
        <item x="7"/>
        <item x="51"/>
        <item x="78"/>
        <item x="76"/>
        <item x="38"/>
        <item x="84"/>
        <item x="60"/>
        <item x="31"/>
        <item x="6"/>
        <item x="29"/>
        <item x="91"/>
        <item x="100"/>
        <item x="40"/>
        <item x="63"/>
        <item x="19"/>
        <item x="65"/>
        <item x="41"/>
        <item x="39"/>
        <item x="55"/>
        <item x="77"/>
        <item x="42"/>
        <item x="15"/>
        <item x="96"/>
        <item x="97"/>
        <item x="75"/>
        <item x="52"/>
        <item x="16"/>
        <item x="10"/>
        <item x="102"/>
        <item x="9"/>
        <item x="99"/>
        <item x="68"/>
        <item x="61"/>
        <item x="56"/>
        <item x="2"/>
        <item x="57"/>
        <item x="69"/>
        <item x="43"/>
        <item x="72"/>
        <item x="94"/>
        <item x="35"/>
        <item x="47"/>
        <item x="34"/>
        <item x="70"/>
        <item x="11"/>
        <item x="53"/>
        <item x="25"/>
        <item x="49"/>
        <item x="48"/>
        <item x="5"/>
        <item x="82"/>
        <item x="79"/>
        <item x="71"/>
        <item x="74"/>
        <item x="64"/>
        <item x="86"/>
        <item x="27"/>
        <item x="95"/>
        <item x="46"/>
        <item x="18"/>
        <item t="default"/>
      </items>
    </pivotField>
    <pivotField numFmtId="2" showAll="0">
      <items count="146">
        <item x="19"/>
        <item x="119"/>
        <item x="110"/>
        <item x="136"/>
        <item x="28"/>
        <item x="22"/>
        <item x="12"/>
        <item x="124"/>
        <item x="98"/>
        <item x="88"/>
        <item x="59"/>
        <item x="105"/>
        <item x="68"/>
        <item x="140"/>
        <item x="138"/>
        <item x="40"/>
        <item x="62"/>
        <item x="97"/>
        <item x="55"/>
        <item x="78"/>
        <item x="39"/>
        <item x="73"/>
        <item x="15"/>
        <item x="130"/>
        <item x="141"/>
        <item x="77"/>
        <item x="29"/>
        <item x="115"/>
        <item x="8"/>
        <item x="46"/>
        <item x="85"/>
        <item x="75"/>
        <item x="32"/>
        <item x="13"/>
        <item x="63"/>
        <item x="10"/>
        <item x="57"/>
        <item x="52"/>
        <item x="96"/>
        <item x="129"/>
        <item x="95"/>
        <item x="53"/>
        <item x="79"/>
        <item x="114"/>
        <item x="112"/>
        <item x="50"/>
        <item x="37"/>
        <item x="27"/>
        <item x="132"/>
        <item x="86"/>
        <item x="43"/>
        <item x="6"/>
        <item x="7"/>
        <item x="18"/>
        <item x="116"/>
        <item x="122"/>
        <item x="133"/>
        <item x="102"/>
        <item x="121"/>
        <item x="24"/>
        <item x="65"/>
        <item x="117"/>
        <item x="69"/>
        <item x="30"/>
        <item x="38"/>
        <item x="107"/>
        <item x="83"/>
        <item x="44"/>
        <item x="137"/>
        <item x="56"/>
        <item x="135"/>
        <item x="80"/>
        <item x="90"/>
        <item x="82"/>
        <item x="34"/>
        <item x="87"/>
        <item x="49"/>
        <item x="104"/>
        <item x="21"/>
        <item x="41"/>
        <item x="11"/>
        <item x="91"/>
        <item x="66"/>
        <item x="1"/>
        <item x="144"/>
        <item x="100"/>
        <item x="76"/>
        <item x="93"/>
        <item x="25"/>
        <item x="51"/>
        <item x="36"/>
        <item x="109"/>
        <item x="42"/>
        <item x="94"/>
        <item x="9"/>
        <item x="5"/>
        <item x="0"/>
        <item x="23"/>
        <item x="118"/>
        <item x="20"/>
        <item x="108"/>
        <item x="61"/>
        <item x="81"/>
        <item x="71"/>
        <item x="131"/>
        <item x="2"/>
        <item x="17"/>
        <item x="4"/>
        <item x="58"/>
        <item x="45"/>
        <item x="103"/>
        <item x="106"/>
        <item x="60"/>
        <item x="111"/>
        <item x="26"/>
        <item x="89"/>
        <item x="48"/>
        <item x="64"/>
        <item x="35"/>
        <item x="134"/>
        <item x="70"/>
        <item x="120"/>
        <item x="3"/>
        <item x="127"/>
        <item x="128"/>
        <item x="113"/>
        <item x="101"/>
        <item x="84"/>
        <item x="125"/>
        <item x="14"/>
        <item x="72"/>
        <item x="47"/>
        <item x="126"/>
        <item x="31"/>
        <item x="33"/>
        <item x="142"/>
        <item x="123"/>
        <item x="92"/>
        <item x="99"/>
        <item x="67"/>
        <item x="54"/>
        <item x="74"/>
        <item x="16"/>
        <item x="139"/>
        <item x="143"/>
        <item t="default"/>
      </items>
    </pivotField>
    <pivotField numFmtId="2" showAll="0">
      <items count="178">
        <item x="32"/>
        <item x="115"/>
        <item x="167"/>
        <item x="113"/>
        <item x="22"/>
        <item x="74"/>
        <item x="125"/>
        <item x="176"/>
        <item x="63"/>
        <item x="96"/>
        <item x="11"/>
        <item x="41"/>
        <item x="94"/>
        <item x="4"/>
        <item x="39"/>
        <item x="16"/>
        <item x="54"/>
        <item x="111"/>
        <item x="20"/>
        <item x="163"/>
        <item x="128"/>
        <item x="67"/>
        <item x="33"/>
        <item x="142"/>
        <item x="172"/>
        <item x="157"/>
        <item x="61"/>
        <item x="52"/>
        <item x="71"/>
        <item x="82"/>
        <item x="51"/>
        <item x="6"/>
        <item x="87"/>
        <item x="58"/>
        <item x="93"/>
        <item x="119"/>
        <item x="57"/>
        <item x="101"/>
        <item x="72"/>
        <item x="21"/>
        <item x="50"/>
        <item x="147"/>
        <item x="174"/>
        <item x="150"/>
        <item x="37"/>
        <item x="53"/>
        <item x="134"/>
        <item x="152"/>
        <item x="25"/>
        <item x="17"/>
        <item x="88"/>
        <item x="120"/>
        <item x="169"/>
        <item x="151"/>
        <item x="95"/>
        <item x="165"/>
        <item x="13"/>
        <item x="132"/>
        <item x="1"/>
        <item x="124"/>
        <item x="78"/>
        <item x="18"/>
        <item x="73"/>
        <item x="148"/>
        <item x="8"/>
        <item x="175"/>
        <item x="170"/>
        <item x="153"/>
        <item x="90"/>
        <item x="126"/>
        <item x="77"/>
        <item x="86"/>
        <item x="40"/>
        <item x="100"/>
        <item x="30"/>
        <item x="62"/>
        <item x="42"/>
        <item x="141"/>
        <item x="29"/>
        <item x="59"/>
        <item x="2"/>
        <item x="80"/>
        <item x="159"/>
        <item x="0"/>
        <item x="109"/>
        <item x="127"/>
        <item x="130"/>
        <item x="84"/>
        <item x="7"/>
        <item x="69"/>
        <item x="55"/>
        <item x="117"/>
        <item x="114"/>
        <item x="46"/>
        <item x="133"/>
        <item x="143"/>
        <item x="122"/>
        <item x="145"/>
        <item x="75"/>
        <item x="106"/>
        <item x="137"/>
        <item x="5"/>
        <item x="103"/>
        <item x="23"/>
        <item x="129"/>
        <item x="104"/>
        <item x="99"/>
        <item x="10"/>
        <item x="108"/>
        <item x="168"/>
        <item x="112"/>
        <item x="161"/>
        <item x="28"/>
        <item x="173"/>
        <item x="98"/>
        <item x="45"/>
        <item x="43"/>
        <item x="64"/>
        <item x="140"/>
        <item x="146"/>
        <item x="156"/>
        <item x="27"/>
        <item x="83"/>
        <item x="26"/>
        <item x="171"/>
        <item x="139"/>
        <item x="31"/>
        <item x="14"/>
        <item x="89"/>
        <item x="92"/>
        <item x="160"/>
        <item x="19"/>
        <item x="79"/>
        <item x="164"/>
        <item x="34"/>
        <item x="123"/>
        <item x="135"/>
        <item x="85"/>
        <item x="3"/>
        <item x="66"/>
        <item x="70"/>
        <item x="166"/>
        <item x="9"/>
        <item x="154"/>
        <item x="110"/>
        <item x="144"/>
        <item x="15"/>
        <item x="81"/>
        <item x="118"/>
        <item x="36"/>
        <item x="12"/>
        <item x="149"/>
        <item x="47"/>
        <item x="136"/>
        <item x="65"/>
        <item x="35"/>
        <item x="38"/>
        <item x="162"/>
        <item x="44"/>
        <item x="68"/>
        <item x="60"/>
        <item x="138"/>
        <item x="97"/>
        <item x="158"/>
        <item x="56"/>
        <item x="105"/>
        <item x="91"/>
        <item x="155"/>
        <item x="121"/>
        <item x="107"/>
        <item x="102"/>
        <item x="131"/>
        <item x="116"/>
        <item x="24"/>
        <item x="76"/>
        <item x="48"/>
        <item x="49"/>
        <item t="default"/>
      </items>
    </pivotField>
    <pivotField showAll="0">
      <items count="156">
        <item x="19"/>
        <item x="127"/>
        <item x="119"/>
        <item x="143"/>
        <item x="28"/>
        <item x="105"/>
        <item x="12"/>
        <item x="122"/>
        <item x="133"/>
        <item x="69"/>
        <item x="60"/>
        <item x="96"/>
        <item x="145"/>
        <item x="112"/>
        <item x="63"/>
        <item x="83"/>
        <item x="15"/>
        <item x="41"/>
        <item x="137"/>
        <item x="148"/>
        <item x="56"/>
        <item x="79"/>
        <item x="80"/>
        <item x="47"/>
        <item x="90"/>
        <item x="124"/>
        <item x="97"/>
        <item x="77"/>
        <item x="29"/>
        <item x="95"/>
        <item x="93"/>
        <item x="149"/>
        <item x="115"/>
        <item x="136"/>
        <item x="128"/>
        <item x="58"/>
        <item x="75"/>
        <item x="8"/>
        <item x="10"/>
        <item x="139"/>
        <item x="103"/>
        <item x="27"/>
        <item x="150"/>
        <item x="37"/>
        <item x="24"/>
        <item x="121"/>
        <item x="44"/>
        <item x="131"/>
        <item x="92"/>
        <item x="13"/>
        <item x="113"/>
        <item x="130"/>
        <item x="134"/>
        <item x="7"/>
        <item x="30"/>
        <item x="34"/>
        <item x="111"/>
        <item x="85"/>
        <item x="86"/>
        <item x="125"/>
        <item x="40"/>
        <item x="22"/>
        <item x="64"/>
        <item x="45"/>
        <item x="52"/>
        <item x="98"/>
        <item x="18"/>
        <item x="70"/>
        <item x="42"/>
        <item x="53"/>
        <item x="48"/>
        <item x="66"/>
        <item x="81"/>
        <item x="39"/>
        <item x="147"/>
        <item x="43"/>
        <item x="114"/>
        <item x="32"/>
        <item x="101"/>
        <item x="9"/>
        <item x="6"/>
        <item x="141"/>
        <item x="107"/>
        <item x="144"/>
        <item x="78"/>
        <item x="82"/>
        <item x="5"/>
        <item x="100"/>
        <item x="109"/>
        <item x="23"/>
        <item x="54"/>
        <item x="59"/>
        <item x="46"/>
        <item x="91"/>
        <item x="153"/>
        <item x="126"/>
        <item x="0"/>
        <item x="118"/>
        <item x="1"/>
        <item x="62"/>
        <item x="102"/>
        <item x="26"/>
        <item x="73"/>
        <item x="35"/>
        <item x="21"/>
        <item x="94"/>
        <item x="129"/>
        <item x="51"/>
        <item x="84"/>
        <item x="2"/>
        <item x="25"/>
        <item x="72"/>
        <item x="140"/>
        <item x="123"/>
        <item x="135"/>
        <item x="3"/>
        <item x="38"/>
        <item x="154"/>
        <item x="36"/>
        <item x="108"/>
        <item x="116"/>
        <item x="117"/>
        <item x="14"/>
        <item x="74"/>
        <item x="17"/>
        <item x="104"/>
        <item x="71"/>
        <item x="110"/>
        <item x="120"/>
        <item x="33"/>
        <item x="87"/>
        <item x="65"/>
        <item x="89"/>
        <item x="88"/>
        <item x="142"/>
        <item x="138"/>
        <item x="11"/>
        <item x="57"/>
        <item x="20"/>
        <item x="151"/>
        <item x="50"/>
        <item x="99"/>
        <item x="61"/>
        <item x="49"/>
        <item x="4"/>
        <item x="76"/>
        <item x="68"/>
        <item x="132"/>
        <item x="67"/>
        <item x="55"/>
        <item x="16"/>
        <item x="152"/>
        <item x="146"/>
        <item x="106"/>
        <item x="31"/>
        <item t="default"/>
      </items>
    </pivotField>
    <pivotField numFmtId="1" showAll="0">
      <items count="184">
        <item x="179"/>
        <item x="75"/>
        <item x="68"/>
        <item x="139"/>
        <item x="49"/>
        <item x="94"/>
        <item x="69"/>
        <item x="164"/>
        <item x="59"/>
        <item x="17"/>
        <item x="140"/>
        <item x="5"/>
        <item x="100"/>
        <item x="19"/>
        <item x="14"/>
        <item x="146"/>
        <item x="113"/>
        <item x="63"/>
        <item x="166"/>
        <item x="24"/>
        <item x="30"/>
        <item x="11"/>
        <item x="55"/>
        <item x="114"/>
        <item x="28"/>
        <item x="38"/>
        <item x="73"/>
        <item x="27"/>
        <item x="110"/>
        <item x="97"/>
        <item x="177"/>
        <item x="160"/>
        <item x="162"/>
        <item x="22"/>
        <item x="108"/>
        <item x="141"/>
        <item x="142"/>
        <item x="4"/>
        <item x="165"/>
        <item x="86"/>
        <item x="3"/>
        <item x="34"/>
        <item x="45"/>
        <item x="64"/>
        <item x="174"/>
        <item x="26"/>
        <item x="170"/>
        <item x="157"/>
        <item x="123"/>
        <item x="98"/>
        <item x="95"/>
        <item x="88"/>
        <item x="118"/>
        <item x="167"/>
        <item x="117"/>
        <item x="121"/>
        <item x="18"/>
        <item x="180"/>
        <item x="138"/>
        <item x="147"/>
        <item x="182"/>
        <item x="57"/>
        <item x="78"/>
        <item x="101"/>
        <item x="72"/>
        <item x="149"/>
        <item x="99"/>
        <item x="56"/>
        <item x="29"/>
        <item x="115"/>
        <item x="153"/>
        <item x="44"/>
        <item x="107"/>
        <item x="155"/>
        <item x="39"/>
        <item x="96"/>
        <item x="104"/>
        <item x="106"/>
        <item x="54"/>
        <item x="150"/>
        <item x="122"/>
        <item x="163"/>
        <item x="181"/>
        <item x="130"/>
        <item x="67"/>
        <item x="1"/>
        <item x="77"/>
        <item x="43"/>
        <item x="33"/>
        <item x="48"/>
        <item x="102"/>
        <item x="91"/>
        <item x="109"/>
        <item x="62"/>
        <item x="71"/>
        <item x="161"/>
        <item x="74"/>
        <item x="103"/>
        <item x="60"/>
        <item x="40"/>
        <item x="21"/>
        <item x="105"/>
        <item x="178"/>
        <item x="25"/>
        <item x="144"/>
        <item x="126"/>
        <item x="125"/>
        <item x="58"/>
        <item x="156"/>
        <item x="41"/>
        <item x="53"/>
        <item x="176"/>
        <item x="8"/>
        <item x="47"/>
        <item x="90"/>
        <item x="152"/>
        <item x="46"/>
        <item x="42"/>
        <item x="31"/>
        <item x="175"/>
        <item x="116"/>
        <item x="119"/>
        <item x="9"/>
        <item x="112"/>
        <item x="145"/>
        <item x="2"/>
        <item x="87"/>
        <item x="83"/>
        <item x="93"/>
        <item x="10"/>
        <item x="66"/>
        <item x="159"/>
        <item x="76"/>
        <item x="7"/>
        <item x="0"/>
        <item x="12"/>
        <item x="124"/>
        <item x="136"/>
        <item x="70"/>
        <item x="133"/>
        <item x="148"/>
        <item x="134"/>
        <item x="84"/>
        <item x="120"/>
        <item x="50"/>
        <item x="129"/>
        <item x="172"/>
        <item x="92"/>
        <item x="171"/>
        <item x="20"/>
        <item x="16"/>
        <item x="15"/>
        <item x="127"/>
        <item x="132"/>
        <item x="89"/>
        <item x="51"/>
        <item x="158"/>
        <item x="36"/>
        <item x="80"/>
        <item x="52"/>
        <item x="82"/>
        <item x="135"/>
        <item x="32"/>
        <item x="6"/>
        <item x="65"/>
        <item x="37"/>
        <item x="13"/>
        <item x="61"/>
        <item x="168"/>
        <item x="85"/>
        <item x="143"/>
        <item x="154"/>
        <item x="128"/>
        <item x="81"/>
        <item x="173"/>
        <item x="35"/>
        <item x="111"/>
        <item x="131"/>
        <item x="151"/>
        <item x="137"/>
        <item x="79"/>
        <item x="23"/>
        <item x="169"/>
        <item t="default"/>
      </items>
    </pivotField>
    <pivotField numFmtId="1" showAll="0">
      <items count="163">
        <item x="82"/>
        <item x="24"/>
        <item x="64"/>
        <item x="105"/>
        <item x="14"/>
        <item x="67"/>
        <item x="132"/>
        <item x="104"/>
        <item x="17"/>
        <item x="19"/>
        <item x="5"/>
        <item x="146"/>
        <item x="53"/>
        <item x="52"/>
        <item x="72"/>
        <item x="37"/>
        <item x="44"/>
        <item x="3"/>
        <item x="100"/>
        <item x="88"/>
        <item x="33"/>
        <item x="26"/>
        <item x="99"/>
        <item x="47"/>
        <item x="118"/>
        <item x="80"/>
        <item x="148"/>
        <item x="32"/>
        <item x="68"/>
        <item x="29"/>
        <item x="27"/>
        <item x="56"/>
        <item x="153"/>
        <item x="91"/>
        <item x="135"/>
        <item x="93"/>
        <item x="150"/>
        <item x="140"/>
        <item x="43"/>
        <item x="149"/>
        <item x="138"/>
        <item x="60"/>
        <item x="97"/>
        <item x="71"/>
        <item x="128"/>
        <item x="77"/>
        <item x="134"/>
        <item x="156"/>
        <item x="90"/>
        <item x="145"/>
        <item x="18"/>
        <item x="108"/>
        <item x="4"/>
        <item x="11"/>
        <item x="59"/>
        <item x="63"/>
        <item x="22"/>
        <item x="127"/>
        <item x="28"/>
        <item x="101"/>
        <item x="69"/>
        <item x="112"/>
        <item x="46"/>
        <item x="147"/>
        <item x="38"/>
        <item x="98"/>
        <item x="137"/>
        <item x="39"/>
        <item x="142"/>
        <item x="141"/>
        <item x="66"/>
        <item x="54"/>
        <item x="109"/>
        <item x="42"/>
        <item x="96"/>
        <item x="94"/>
        <item x="106"/>
        <item x="1"/>
        <item x="0"/>
        <item x="58"/>
        <item x="119"/>
        <item x="9"/>
        <item x="130"/>
        <item x="144"/>
        <item x="92"/>
        <item x="110"/>
        <item x="30"/>
        <item x="114"/>
        <item x="89"/>
        <item x="161"/>
        <item x="15"/>
        <item x="35"/>
        <item x="160"/>
        <item x="111"/>
        <item x="41"/>
        <item x="143"/>
        <item x="45"/>
        <item x="123"/>
        <item x="85"/>
        <item x="79"/>
        <item x="25"/>
        <item x="159"/>
        <item x="154"/>
        <item x="21"/>
        <item x="103"/>
        <item x="16"/>
        <item x="7"/>
        <item x="95"/>
        <item x="12"/>
        <item x="10"/>
        <item x="124"/>
        <item x="133"/>
        <item x="51"/>
        <item x="8"/>
        <item x="131"/>
        <item x="122"/>
        <item x="107"/>
        <item x="31"/>
        <item x="158"/>
        <item x="61"/>
        <item x="113"/>
        <item x="157"/>
        <item x="50"/>
        <item x="84"/>
        <item x="2"/>
        <item x="40"/>
        <item x="55"/>
        <item x="86"/>
        <item x="155"/>
        <item x="70"/>
        <item x="62"/>
        <item x="81"/>
        <item x="87"/>
        <item x="65"/>
        <item x="57"/>
        <item x="151"/>
        <item x="49"/>
        <item x="117"/>
        <item x="139"/>
        <item x="125"/>
        <item x="116"/>
        <item x="115"/>
        <item x="20"/>
        <item x="48"/>
        <item x="83"/>
        <item x="78"/>
        <item x="74"/>
        <item x="121"/>
        <item x="34"/>
        <item x="129"/>
        <item x="75"/>
        <item x="76"/>
        <item x="13"/>
        <item x="120"/>
        <item x="6"/>
        <item x="126"/>
        <item x="102"/>
        <item x="36"/>
        <item x="136"/>
        <item x="23"/>
        <item x="73"/>
        <item x="152"/>
        <item t="default"/>
      </items>
    </pivotField>
    <pivotField numFmtId="2" showAll="0">
      <items count="170">
        <item x="82"/>
        <item x="23"/>
        <item x="114"/>
        <item x="67"/>
        <item x="103"/>
        <item x="77"/>
        <item x="53"/>
        <item x="79"/>
        <item x="107"/>
        <item x="47"/>
        <item x="56"/>
        <item x="72"/>
        <item x="119"/>
        <item x="32"/>
        <item x="98"/>
        <item x="35"/>
        <item x="154"/>
        <item x="100"/>
        <item x="14"/>
        <item x="161"/>
        <item x="151"/>
        <item x="61"/>
        <item x="0"/>
        <item x="143"/>
        <item x="44"/>
        <item x="89"/>
        <item x="46"/>
        <item x="128"/>
        <item x="116"/>
        <item x="113"/>
        <item x="71"/>
        <item x="3"/>
        <item x="26"/>
        <item x="148"/>
        <item x="145"/>
        <item x="147"/>
        <item x="157"/>
        <item x="57"/>
        <item x="121"/>
        <item x="31"/>
        <item x="25"/>
        <item x="160"/>
        <item x="43"/>
        <item x="101"/>
        <item x="15"/>
        <item x="94"/>
        <item x="33"/>
        <item x="13"/>
        <item x="149"/>
        <item x="133"/>
        <item x="69"/>
        <item x="9"/>
        <item x="139"/>
        <item x="146"/>
        <item x="132"/>
        <item x="166"/>
        <item x="34"/>
        <item x="153"/>
        <item x="50"/>
        <item x="39"/>
        <item x="102"/>
        <item x="112"/>
        <item x="130"/>
        <item x="88"/>
        <item x="63"/>
        <item x="92"/>
        <item x="80"/>
        <item x="159"/>
        <item x="138"/>
        <item x="52"/>
        <item x="140"/>
        <item x="30"/>
        <item x="37"/>
        <item x="135"/>
        <item x="75"/>
        <item x="106"/>
        <item x="142"/>
        <item x="7"/>
        <item x="66"/>
        <item x="127"/>
        <item x="64"/>
        <item x="86"/>
        <item x="156"/>
        <item x="49"/>
        <item x="125"/>
        <item x="12"/>
        <item x="136"/>
        <item x="10"/>
        <item x="115"/>
        <item x="41"/>
        <item x="60"/>
        <item x="105"/>
        <item x="18"/>
        <item x="45"/>
        <item x="141"/>
        <item x="118"/>
        <item x="17"/>
        <item x="117"/>
        <item x="155"/>
        <item x="42"/>
        <item x="58"/>
        <item x="158"/>
        <item x="95"/>
        <item x="38"/>
        <item x="99"/>
        <item x="28"/>
        <item x="120"/>
        <item x="110"/>
        <item x="122"/>
        <item x="162"/>
        <item x="5"/>
        <item x="104"/>
        <item x="137"/>
        <item x="74"/>
        <item x="70"/>
        <item x="83"/>
        <item x="22"/>
        <item x="131"/>
        <item x="68"/>
        <item x="134"/>
        <item x="65"/>
        <item x="19"/>
        <item x="1"/>
        <item x="27"/>
        <item x="2"/>
        <item x="62"/>
        <item x="76"/>
        <item x="48"/>
        <item x="109"/>
        <item x="24"/>
        <item x="126"/>
        <item x="165"/>
        <item x="16"/>
        <item x="129"/>
        <item x="144"/>
        <item x="81"/>
        <item x="124"/>
        <item x="97"/>
        <item x="87"/>
        <item x="78"/>
        <item x="8"/>
        <item x="51"/>
        <item x="163"/>
        <item x="20"/>
        <item x="36"/>
        <item x="85"/>
        <item x="54"/>
        <item x="4"/>
        <item x="6"/>
        <item x="73"/>
        <item x="152"/>
        <item x="164"/>
        <item x="84"/>
        <item x="29"/>
        <item x="108"/>
        <item x="90"/>
        <item x="96"/>
        <item x="167"/>
        <item x="111"/>
        <item x="40"/>
        <item x="150"/>
        <item x="91"/>
        <item x="21"/>
        <item x="55"/>
        <item x="93"/>
        <item x="168"/>
        <item x="11"/>
        <item x="59"/>
        <item x="123"/>
        <item t="default"/>
      </items>
    </pivotField>
    <pivotField axis="axisRow" showAll="0">
      <items count="7">
        <item x="2"/>
        <item x="3"/>
        <item x="0"/>
        <item x="1"/>
        <item x="5"/>
        <item x="4"/>
        <item t="default"/>
      </items>
    </pivotField>
  </pivotFields>
  <rowFields count="1">
    <field x="14"/>
  </rowFields>
  <rowItems count="7">
    <i>
      <x/>
    </i>
    <i>
      <x v="1"/>
    </i>
    <i>
      <x v="2"/>
    </i>
    <i>
      <x v="3"/>
    </i>
    <i>
      <x v="4"/>
    </i>
    <i>
      <x v="5"/>
    </i>
    <i t="grand">
      <x/>
    </i>
  </rowItems>
  <colItems count="1">
    <i/>
  </colItems>
  <dataFields count="1">
    <dataField name="Sum of New cases" fld="5" baseField="0" baseItem="0"/>
  </dataFields>
  <chartFormats count="2">
    <chartFormat chart="21"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34130CE-92EE-4532-AF63-E090B37F52D1}" name="PivotTable4"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31:B38" firstHeaderRow="1" firstDataRow="1" firstDataCol="1"/>
  <pivotFields count="15">
    <pivotField showAll="0">
      <items count="1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4"/>
        <item x="175"/>
        <item x="176"/>
        <item x="177"/>
        <item x="178"/>
        <item x="173"/>
        <item x="179"/>
        <item x="180"/>
        <item x="181"/>
        <item x="182"/>
        <item x="183"/>
        <item x="184"/>
        <item x="185"/>
        <item x="186"/>
        <item t="default"/>
      </items>
    </pivotField>
    <pivotField numFmtId="1" showAll="0">
      <items count="185">
        <item x="180"/>
        <item x="75"/>
        <item x="68"/>
        <item x="139"/>
        <item x="49"/>
        <item x="94"/>
        <item x="69"/>
        <item x="140"/>
        <item x="59"/>
        <item x="17"/>
        <item x="141"/>
        <item x="129"/>
        <item x="5"/>
        <item x="19"/>
        <item x="14"/>
        <item x="147"/>
        <item x="112"/>
        <item x="24"/>
        <item x="168"/>
        <item x="30"/>
        <item x="55"/>
        <item x="113"/>
        <item x="63"/>
        <item x="109"/>
        <item x="27"/>
        <item x="38"/>
        <item x="28"/>
        <item x="11"/>
        <item x="73"/>
        <item x="179"/>
        <item x="163"/>
        <item x="97"/>
        <item x="165"/>
        <item x="162"/>
        <item x="142"/>
        <item x="107"/>
        <item x="22"/>
        <item x="86"/>
        <item x="143"/>
        <item x="167"/>
        <item x="3"/>
        <item x="34"/>
        <item x="4"/>
        <item x="45"/>
        <item x="26"/>
        <item x="172"/>
        <item x="122"/>
        <item x="64"/>
        <item x="98"/>
        <item x="88"/>
        <item x="176"/>
        <item x="95"/>
        <item x="169"/>
        <item x="159"/>
        <item x="120"/>
        <item x="181"/>
        <item x="116"/>
        <item x="18"/>
        <item x="148"/>
        <item x="117"/>
        <item x="78"/>
        <item x="138"/>
        <item x="72"/>
        <item x="100"/>
        <item x="56"/>
        <item x="151"/>
        <item x="150"/>
        <item x="155"/>
        <item x="57"/>
        <item x="29"/>
        <item x="106"/>
        <item x="44"/>
        <item x="183"/>
        <item x="157"/>
        <item x="99"/>
        <item x="114"/>
        <item x="54"/>
        <item x="152"/>
        <item x="39"/>
        <item x="166"/>
        <item x="105"/>
        <item x="121"/>
        <item x="103"/>
        <item x="96"/>
        <item x="67"/>
        <item x="77"/>
        <item x="130"/>
        <item x="182"/>
        <item x="33"/>
        <item x="1"/>
        <item x="43"/>
        <item x="48"/>
        <item x="108"/>
        <item x="101"/>
        <item x="71"/>
        <item x="62"/>
        <item x="164"/>
        <item x="74"/>
        <item x="60"/>
        <item x="91"/>
        <item x="40"/>
        <item x="104"/>
        <item x="125"/>
        <item x="102"/>
        <item x="145"/>
        <item x="124"/>
        <item x="21"/>
        <item x="25"/>
        <item x="158"/>
        <item x="47"/>
        <item x="154"/>
        <item x="58"/>
        <item x="53"/>
        <item x="8"/>
        <item x="46"/>
        <item x="42"/>
        <item x="41"/>
        <item x="178"/>
        <item x="31"/>
        <item x="90"/>
        <item x="118"/>
        <item x="9"/>
        <item x="115"/>
        <item x="177"/>
        <item x="111"/>
        <item x="146"/>
        <item x="83"/>
        <item x="2"/>
        <item x="10"/>
        <item x="87"/>
        <item x="93"/>
        <item x="66"/>
        <item x="161"/>
        <item x="0"/>
        <item x="7"/>
        <item x="12"/>
        <item x="76"/>
        <item x="123"/>
        <item x="133"/>
        <item x="70"/>
        <item x="136"/>
        <item x="134"/>
        <item x="149"/>
        <item x="119"/>
        <item x="174"/>
        <item x="128"/>
        <item x="84"/>
        <item x="50"/>
        <item x="92"/>
        <item x="16"/>
        <item x="173"/>
        <item x="15"/>
        <item x="20"/>
        <item x="126"/>
        <item x="160"/>
        <item x="51"/>
        <item x="132"/>
        <item x="89"/>
        <item x="36"/>
        <item x="52"/>
        <item x="80"/>
        <item x="135"/>
        <item x="82"/>
        <item x="32"/>
        <item x="6"/>
        <item x="65"/>
        <item x="61"/>
        <item x="13"/>
        <item x="170"/>
        <item x="85"/>
        <item x="37"/>
        <item x="144"/>
        <item x="156"/>
        <item x="127"/>
        <item x="81"/>
        <item x="175"/>
        <item x="35"/>
        <item x="131"/>
        <item x="110"/>
        <item x="153"/>
        <item x="137"/>
        <item x="79"/>
        <item x="23"/>
        <item x="171"/>
        <item t="default"/>
      </items>
    </pivotField>
    <pivotField numFmtId="1" showAll="0">
      <items count="151">
        <item x="19"/>
        <item x="26"/>
        <item x="17"/>
        <item x="5"/>
        <item x="96"/>
        <item x="115"/>
        <item x="25"/>
        <item x="14"/>
        <item x="56"/>
        <item x="92"/>
        <item x="68"/>
        <item x="11"/>
        <item x="83"/>
        <item x="117"/>
        <item x="91"/>
        <item x="57"/>
        <item x="137"/>
        <item x="41"/>
        <item x="64"/>
        <item x="136"/>
        <item x="27"/>
        <item x="131"/>
        <item x="63"/>
        <item x="122"/>
        <item x="123"/>
        <item x="82"/>
        <item x="51"/>
        <item x="18"/>
        <item x="149"/>
        <item x="134"/>
        <item x="4"/>
        <item x="116"/>
        <item x="107"/>
        <item x="62"/>
        <item x="128"/>
        <item x="98"/>
        <item x="55"/>
        <item x="138"/>
        <item x="49"/>
        <item x="3"/>
        <item x="24"/>
        <item x="35"/>
        <item x="44"/>
        <item x="30"/>
        <item x="135"/>
        <item x="85"/>
        <item x="121"/>
        <item x="50"/>
        <item x="84"/>
        <item x="31"/>
        <item x="146"/>
        <item x="86"/>
        <item x="40"/>
        <item x="88"/>
        <item x="125"/>
        <item x="38"/>
        <item x="89"/>
        <item x="100"/>
        <item x="87"/>
        <item x="37"/>
        <item x="124"/>
        <item x="144"/>
        <item x="90"/>
        <item x="39"/>
        <item x="148"/>
        <item x="12"/>
        <item x="1"/>
        <item x="145"/>
        <item x="93"/>
        <item x="65"/>
        <item x="112"/>
        <item x="8"/>
        <item x="59"/>
        <item x="79"/>
        <item x="119"/>
        <item x="60"/>
        <item x="36"/>
        <item x="52"/>
        <item x="103"/>
        <item x="78"/>
        <item x="21"/>
        <item x="127"/>
        <item x="97"/>
        <item x="53"/>
        <item x="142"/>
        <item x="23"/>
        <item x="42"/>
        <item x="28"/>
        <item x="104"/>
        <item x="48"/>
        <item x="10"/>
        <item x="80"/>
        <item x="102"/>
        <item x="74"/>
        <item x="147"/>
        <item x="15"/>
        <item x="120"/>
        <item x="77"/>
        <item x="67"/>
        <item x="43"/>
        <item x="7"/>
        <item x="9"/>
        <item x="130"/>
        <item x="95"/>
        <item x="101"/>
        <item x="76"/>
        <item x="45"/>
        <item x="2"/>
        <item x="66"/>
        <item x="0"/>
        <item x="81"/>
        <item x="106"/>
        <item x="141"/>
        <item x="110"/>
        <item x="111"/>
        <item x="61"/>
        <item x="73"/>
        <item x="109"/>
        <item x="133"/>
        <item x="113"/>
        <item x="20"/>
        <item x="118"/>
        <item x="13"/>
        <item x="6"/>
        <item x="72"/>
        <item x="47"/>
        <item x="33"/>
        <item x="70"/>
        <item x="46"/>
        <item x="139"/>
        <item x="132"/>
        <item x="105"/>
        <item x="99"/>
        <item x="126"/>
        <item x="34"/>
        <item x="29"/>
        <item x="58"/>
        <item x="32"/>
        <item x="16"/>
        <item x="114"/>
        <item x="71"/>
        <item x="108"/>
        <item x="129"/>
        <item x="54"/>
        <item x="69"/>
        <item x="75"/>
        <item x="94"/>
        <item x="143"/>
        <item x="22"/>
        <item x="140"/>
        <item t="default"/>
      </items>
    </pivotField>
    <pivotField dataField="1" numFmtId="1" showAll="0">
      <items count="179">
        <item x="32"/>
        <item x="174"/>
        <item x="127"/>
        <item x="73"/>
        <item x="67"/>
        <item x="137"/>
        <item x="49"/>
        <item x="92"/>
        <item x="138"/>
        <item x="68"/>
        <item x="17"/>
        <item x="139"/>
        <item x="22"/>
        <item x="5"/>
        <item x="62"/>
        <item x="98"/>
        <item x="19"/>
        <item x="11"/>
        <item x="14"/>
        <item x="115"/>
        <item x="111"/>
        <item x="95"/>
        <item x="24"/>
        <item x="30"/>
        <item x="71"/>
        <item x="159"/>
        <item x="117"/>
        <item x="55"/>
        <item x="112"/>
        <item x="4"/>
        <item x="27"/>
        <item x="28"/>
        <item x="38"/>
        <item x="108"/>
        <item x="172"/>
        <item x="157"/>
        <item x="177"/>
        <item x="97"/>
        <item x="161"/>
        <item x="96"/>
        <item x="140"/>
        <item x="106"/>
        <item x="84"/>
        <item x="141"/>
        <item x="3"/>
        <item x="113"/>
        <item x="34"/>
        <item x="39"/>
        <item x="175"/>
        <item x="54"/>
        <item x="45"/>
        <item x="63"/>
        <item x="155"/>
        <item x="26"/>
        <item x="169"/>
        <item x="136"/>
        <item x="165"/>
        <item x="57"/>
        <item x="120"/>
        <item x="18"/>
        <item x="86"/>
        <item x="93"/>
        <item x="162"/>
        <item x="151"/>
        <item x="144"/>
        <item x="66"/>
        <item x="168"/>
        <item x="118"/>
        <item x="148"/>
        <item x="33"/>
        <item x="29"/>
        <item x="146"/>
        <item x="99"/>
        <item x="102"/>
        <item x="94"/>
        <item x="147"/>
        <item x="76"/>
        <item x="105"/>
        <item x="56"/>
        <item x="153"/>
        <item x="44"/>
        <item x="119"/>
        <item x="104"/>
        <item x="1"/>
        <item x="176"/>
        <item x="128"/>
        <item x="160"/>
        <item x="75"/>
        <item x="173"/>
        <item x="41"/>
        <item x="43"/>
        <item x="89"/>
        <item x="72"/>
        <item x="107"/>
        <item x="61"/>
        <item x="100"/>
        <item x="21"/>
        <item x="48"/>
        <item x="74"/>
        <item x="122"/>
        <item x="25"/>
        <item x="40"/>
        <item x="154"/>
        <item x="158"/>
        <item x="70"/>
        <item x="101"/>
        <item x="58"/>
        <item x="143"/>
        <item x="59"/>
        <item x="53"/>
        <item x="88"/>
        <item x="103"/>
        <item x="123"/>
        <item x="8"/>
        <item x="171"/>
        <item x="42"/>
        <item x="46"/>
        <item x="170"/>
        <item x="47"/>
        <item x="150"/>
        <item x="116"/>
        <item x="31"/>
        <item x="110"/>
        <item x="114"/>
        <item x="16"/>
        <item x="121"/>
        <item x="9"/>
        <item x="2"/>
        <item x="91"/>
        <item x="20"/>
        <item x="85"/>
        <item x="10"/>
        <item x="81"/>
        <item x="0"/>
        <item x="134"/>
        <item x="130"/>
        <item x="7"/>
        <item x="82"/>
        <item x="65"/>
        <item x="50"/>
        <item x="156"/>
        <item x="69"/>
        <item x="131"/>
        <item x="52"/>
        <item x="51"/>
        <item x="126"/>
        <item x="132"/>
        <item x="12"/>
        <item x="166"/>
        <item x="145"/>
        <item x="167"/>
        <item x="87"/>
        <item x="90"/>
        <item x="124"/>
        <item x="78"/>
        <item x="15"/>
        <item x="6"/>
        <item x="80"/>
        <item x="36"/>
        <item x="60"/>
        <item x="133"/>
        <item x="13"/>
        <item x="37"/>
        <item x="152"/>
        <item x="64"/>
        <item x="83"/>
        <item x="163"/>
        <item x="142"/>
        <item x="125"/>
        <item x="79"/>
        <item x="129"/>
        <item x="149"/>
        <item x="109"/>
        <item x="35"/>
        <item x="135"/>
        <item x="77"/>
        <item x="164"/>
        <item x="23"/>
        <item t="default"/>
      </items>
    </pivotField>
    <pivotField numFmtId="1" showAll="0">
      <items count="174">
        <item x="24"/>
        <item x="65"/>
        <item x="104"/>
        <item x="94"/>
        <item x="107"/>
        <item x="14"/>
        <item x="157"/>
        <item x="19"/>
        <item x="152"/>
        <item x="5"/>
        <item x="37"/>
        <item x="17"/>
        <item x="73"/>
        <item x="47"/>
        <item x="102"/>
        <item x="116"/>
        <item x="33"/>
        <item x="54"/>
        <item x="123"/>
        <item x="3"/>
        <item x="168"/>
        <item x="108"/>
        <item x="53"/>
        <item x="137"/>
        <item x="27"/>
        <item x="29"/>
        <item x="43"/>
        <item x="133"/>
        <item x="26"/>
        <item x="83"/>
        <item x="119"/>
        <item x="155"/>
        <item x="81"/>
        <item x="161"/>
        <item x="89"/>
        <item x="57"/>
        <item x="99"/>
        <item x="69"/>
        <item x="44"/>
        <item x="61"/>
        <item x="165"/>
        <item x="141"/>
        <item x="158"/>
        <item x="156"/>
        <item x="60"/>
        <item x="11"/>
        <item x="154"/>
        <item x="95"/>
        <item x="91"/>
        <item x="170"/>
        <item x="138"/>
        <item x="92"/>
        <item x="101"/>
        <item x="72"/>
        <item x="149"/>
        <item x="140"/>
        <item x="46"/>
        <item x="151"/>
        <item x="4"/>
        <item x="147"/>
        <item x="22"/>
        <item x="18"/>
        <item x="67"/>
        <item x="28"/>
        <item x="78"/>
        <item x="42"/>
        <item x="100"/>
        <item x="115"/>
        <item x="144"/>
        <item x="132"/>
        <item x="145"/>
        <item x="68"/>
        <item x="153"/>
        <item x="55"/>
        <item x="96"/>
        <item x="103"/>
        <item x="142"/>
        <item x="171"/>
        <item x="9"/>
        <item x="124"/>
        <item x="111"/>
        <item x="112"/>
        <item x="98"/>
        <item x="1"/>
        <item x="109"/>
        <item x="90"/>
        <item x="172"/>
        <item x="52"/>
        <item x="30"/>
        <item x="93"/>
        <item x="38"/>
        <item x="59"/>
        <item x="64"/>
        <item x="70"/>
        <item x="39"/>
        <item x="32"/>
        <item x="135"/>
        <item x="129"/>
        <item x="86"/>
        <item x="12"/>
        <item x="35"/>
        <item x="97"/>
        <item x="63"/>
        <item x="45"/>
        <item x="110"/>
        <item x="118"/>
        <item x="25"/>
        <item x="148"/>
        <item x="113"/>
        <item x="139"/>
        <item x="41"/>
        <item x="21"/>
        <item x="8"/>
        <item x="167"/>
        <item x="15"/>
        <item x="106"/>
        <item x="163"/>
        <item x="10"/>
        <item x="169"/>
        <item x="51"/>
        <item x="62"/>
        <item x="56"/>
        <item x="2"/>
        <item x="82"/>
        <item x="127"/>
        <item x="87"/>
        <item x="166"/>
        <item x="0"/>
        <item x="85"/>
        <item x="7"/>
        <item x="88"/>
        <item x="159"/>
        <item x="66"/>
        <item x="40"/>
        <item x="80"/>
        <item x="128"/>
        <item x="130"/>
        <item x="34"/>
        <item x="120"/>
        <item x="117"/>
        <item x="76"/>
        <item x="136"/>
        <item x="122"/>
        <item x="121"/>
        <item x="162"/>
        <item x="84"/>
        <item x="77"/>
        <item x="48"/>
        <item x="71"/>
        <item x="79"/>
        <item x="75"/>
        <item x="16"/>
        <item x="49"/>
        <item x="134"/>
        <item x="20"/>
        <item x="114"/>
        <item x="105"/>
        <item x="50"/>
        <item x="126"/>
        <item x="150"/>
        <item x="6"/>
        <item x="146"/>
        <item x="13"/>
        <item x="125"/>
        <item x="31"/>
        <item x="58"/>
        <item x="36"/>
        <item x="143"/>
        <item x="131"/>
        <item x="164"/>
        <item x="74"/>
        <item x="23"/>
        <item x="160"/>
        <item t="default"/>
      </items>
    </pivotField>
    <pivotField numFmtId="1" showAll="0">
      <items count="123">
        <item x="14"/>
        <item x="25"/>
        <item x="45"/>
        <item x="37"/>
        <item x="5"/>
        <item x="47"/>
        <item x="51"/>
        <item x="27"/>
        <item x="68"/>
        <item x="40"/>
        <item x="3"/>
        <item x="64"/>
        <item x="32"/>
        <item x="22"/>
        <item x="88"/>
        <item x="23"/>
        <item x="4"/>
        <item x="57"/>
        <item x="24"/>
        <item x="108"/>
        <item x="35"/>
        <item x="58"/>
        <item x="106"/>
        <item x="82"/>
        <item x="54"/>
        <item x="36"/>
        <item x="109"/>
        <item x="11"/>
        <item x="107"/>
        <item x="110"/>
        <item x="56"/>
        <item x="50"/>
        <item x="19"/>
        <item x="100"/>
        <item x="34"/>
        <item x="112"/>
        <item x="77"/>
        <item x="83"/>
        <item x="121"/>
        <item x="7"/>
        <item x="102"/>
        <item x="9"/>
        <item x="80"/>
        <item x="92"/>
        <item x="0"/>
        <item x="39"/>
        <item x="1"/>
        <item x="15"/>
        <item x="79"/>
        <item x="87"/>
        <item x="74"/>
        <item x="96"/>
        <item x="84"/>
        <item x="120"/>
        <item x="75"/>
        <item x="31"/>
        <item x="66"/>
        <item x="38"/>
        <item x="21"/>
        <item x="49"/>
        <item x="29"/>
        <item x="55"/>
        <item x="116"/>
        <item x="97"/>
        <item x="95"/>
        <item x="12"/>
        <item x="8"/>
        <item x="70"/>
        <item x="76"/>
        <item x="10"/>
        <item x="111"/>
        <item x="16"/>
        <item x="44"/>
        <item x="103"/>
        <item x="85"/>
        <item x="43"/>
        <item x="52"/>
        <item x="59"/>
        <item x="42"/>
        <item x="104"/>
        <item x="73"/>
        <item x="71"/>
        <item x="119"/>
        <item x="46"/>
        <item x="67"/>
        <item x="72"/>
        <item x="81"/>
        <item x="33"/>
        <item x="2"/>
        <item x="86"/>
        <item x="53"/>
        <item x="118"/>
        <item x="26"/>
        <item x="117"/>
        <item x="18"/>
        <item x="115"/>
        <item x="113"/>
        <item x="89"/>
        <item x="98"/>
        <item x="91"/>
        <item x="90"/>
        <item x="41"/>
        <item x="61"/>
        <item x="69"/>
        <item x="94"/>
        <item x="17"/>
        <item x="101"/>
        <item x="65"/>
        <item x="28"/>
        <item x="62"/>
        <item x="48"/>
        <item x="63"/>
        <item x="13"/>
        <item x="6"/>
        <item x="78"/>
        <item x="99"/>
        <item x="105"/>
        <item x="93"/>
        <item x="30"/>
        <item x="20"/>
        <item x="60"/>
        <item x="114"/>
        <item t="default"/>
      </items>
    </pivotField>
    <pivotField numFmtId="1" showAll="0">
      <items count="39">
        <item x="3"/>
        <item x="4"/>
        <item x="16"/>
        <item x="15"/>
        <item x="7"/>
        <item x="20"/>
        <item x="1"/>
        <item x="11"/>
        <item x="2"/>
        <item x="31"/>
        <item x="0"/>
        <item x="12"/>
        <item x="30"/>
        <item x="9"/>
        <item x="27"/>
        <item x="18"/>
        <item x="34"/>
        <item x="17"/>
        <item x="28"/>
        <item x="21"/>
        <item x="32"/>
        <item x="6"/>
        <item x="19"/>
        <item x="22"/>
        <item x="24"/>
        <item x="8"/>
        <item x="13"/>
        <item x="35"/>
        <item x="26"/>
        <item x="5"/>
        <item x="25"/>
        <item x="36"/>
        <item x="29"/>
        <item x="14"/>
        <item x="33"/>
        <item x="10"/>
        <item x="23"/>
        <item x="37"/>
        <item t="default"/>
      </items>
    </pivotField>
    <pivotField numFmtId="1" showAll="0">
      <items count="104">
        <item x="3"/>
        <item x="14"/>
        <item x="21"/>
        <item x="98"/>
        <item x="24"/>
        <item x="4"/>
        <item x="20"/>
        <item x="26"/>
        <item x="93"/>
        <item x="17"/>
        <item x="13"/>
        <item x="88"/>
        <item x="58"/>
        <item x="0"/>
        <item x="62"/>
        <item x="22"/>
        <item x="59"/>
        <item x="67"/>
        <item x="90"/>
        <item x="101"/>
        <item x="8"/>
        <item x="81"/>
        <item x="37"/>
        <item x="89"/>
        <item x="85"/>
        <item x="80"/>
        <item x="92"/>
        <item x="1"/>
        <item x="12"/>
        <item x="83"/>
        <item x="32"/>
        <item x="28"/>
        <item x="33"/>
        <item x="30"/>
        <item x="54"/>
        <item x="87"/>
        <item x="23"/>
        <item x="44"/>
        <item x="50"/>
        <item x="73"/>
        <item x="66"/>
        <item x="45"/>
        <item x="36"/>
        <item x="7"/>
        <item x="51"/>
        <item x="78"/>
        <item x="76"/>
        <item x="38"/>
        <item x="84"/>
        <item x="60"/>
        <item x="31"/>
        <item x="6"/>
        <item x="29"/>
        <item x="91"/>
        <item x="100"/>
        <item x="40"/>
        <item x="63"/>
        <item x="19"/>
        <item x="65"/>
        <item x="41"/>
        <item x="39"/>
        <item x="55"/>
        <item x="77"/>
        <item x="42"/>
        <item x="15"/>
        <item x="96"/>
        <item x="97"/>
        <item x="75"/>
        <item x="52"/>
        <item x="16"/>
        <item x="10"/>
        <item x="102"/>
        <item x="9"/>
        <item x="99"/>
        <item x="68"/>
        <item x="61"/>
        <item x="56"/>
        <item x="2"/>
        <item x="57"/>
        <item x="69"/>
        <item x="43"/>
        <item x="72"/>
        <item x="94"/>
        <item x="35"/>
        <item x="47"/>
        <item x="34"/>
        <item x="70"/>
        <item x="11"/>
        <item x="53"/>
        <item x="25"/>
        <item x="49"/>
        <item x="48"/>
        <item x="5"/>
        <item x="82"/>
        <item x="79"/>
        <item x="71"/>
        <item x="74"/>
        <item x="64"/>
        <item x="86"/>
        <item x="27"/>
        <item x="95"/>
        <item x="46"/>
        <item x="18"/>
        <item t="default"/>
      </items>
    </pivotField>
    <pivotField numFmtId="2" showAll="0">
      <items count="146">
        <item x="19"/>
        <item x="119"/>
        <item x="110"/>
        <item x="136"/>
        <item x="28"/>
        <item x="22"/>
        <item x="12"/>
        <item x="124"/>
        <item x="98"/>
        <item x="88"/>
        <item x="59"/>
        <item x="105"/>
        <item x="68"/>
        <item x="140"/>
        <item x="138"/>
        <item x="40"/>
        <item x="62"/>
        <item x="97"/>
        <item x="55"/>
        <item x="78"/>
        <item x="39"/>
        <item x="73"/>
        <item x="15"/>
        <item x="130"/>
        <item x="141"/>
        <item x="77"/>
        <item x="29"/>
        <item x="115"/>
        <item x="8"/>
        <item x="46"/>
        <item x="85"/>
        <item x="75"/>
        <item x="32"/>
        <item x="13"/>
        <item x="63"/>
        <item x="10"/>
        <item x="57"/>
        <item x="52"/>
        <item x="96"/>
        <item x="129"/>
        <item x="95"/>
        <item x="53"/>
        <item x="79"/>
        <item x="114"/>
        <item x="112"/>
        <item x="50"/>
        <item x="37"/>
        <item x="27"/>
        <item x="132"/>
        <item x="86"/>
        <item x="43"/>
        <item x="6"/>
        <item x="7"/>
        <item x="18"/>
        <item x="116"/>
        <item x="122"/>
        <item x="133"/>
        <item x="102"/>
        <item x="121"/>
        <item x="24"/>
        <item x="65"/>
        <item x="117"/>
        <item x="69"/>
        <item x="30"/>
        <item x="38"/>
        <item x="107"/>
        <item x="83"/>
        <item x="44"/>
        <item x="137"/>
        <item x="56"/>
        <item x="135"/>
        <item x="80"/>
        <item x="90"/>
        <item x="82"/>
        <item x="34"/>
        <item x="87"/>
        <item x="49"/>
        <item x="104"/>
        <item x="21"/>
        <item x="41"/>
        <item x="11"/>
        <item x="91"/>
        <item x="66"/>
        <item x="1"/>
        <item x="144"/>
        <item x="100"/>
        <item x="76"/>
        <item x="93"/>
        <item x="25"/>
        <item x="51"/>
        <item x="36"/>
        <item x="109"/>
        <item x="42"/>
        <item x="94"/>
        <item x="9"/>
        <item x="5"/>
        <item x="0"/>
        <item x="23"/>
        <item x="118"/>
        <item x="20"/>
        <item x="108"/>
        <item x="61"/>
        <item x="81"/>
        <item x="71"/>
        <item x="131"/>
        <item x="2"/>
        <item x="17"/>
        <item x="4"/>
        <item x="58"/>
        <item x="45"/>
        <item x="103"/>
        <item x="106"/>
        <item x="60"/>
        <item x="111"/>
        <item x="26"/>
        <item x="89"/>
        <item x="48"/>
        <item x="64"/>
        <item x="35"/>
        <item x="134"/>
        <item x="70"/>
        <item x="120"/>
        <item x="3"/>
        <item x="127"/>
        <item x="128"/>
        <item x="113"/>
        <item x="101"/>
        <item x="84"/>
        <item x="125"/>
        <item x="14"/>
        <item x="72"/>
        <item x="47"/>
        <item x="126"/>
        <item x="31"/>
        <item x="33"/>
        <item x="142"/>
        <item x="123"/>
        <item x="92"/>
        <item x="99"/>
        <item x="67"/>
        <item x="54"/>
        <item x="74"/>
        <item x="16"/>
        <item x="139"/>
        <item x="143"/>
        <item t="default"/>
      </items>
    </pivotField>
    <pivotField numFmtId="2" showAll="0">
      <items count="178">
        <item x="32"/>
        <item x="115"/>
        <item x="167"/>
        <item x="113"/>
        <item x="22"/>
        <item x="74"/>
        <item x="125"/>
        <item x="176"/>
        <item x="63"/>
        <item x="96"/>
        <item x="11"/>
        <item x="41"/>
        <item x="94"/>
        <item x="4"/>
        <item x="39"/>
        <item x="16"/>
        <item x="54"/>
        <item x="111"/>
        <item x="20"/>
        <item x="163"/>
        <item x="128"/>
        <item x="67"/>
        <item x="33"/>
        <item x="142"/>
        <item x="172"/>
        <item x="157"/>
        <item x="61"/>
        <item x="52"/>
        <item x="71"/>
        <item x="82"/>
        <item x="51"/>
        <item x="6"/>
        <item x="87"/>
        <item x="58"/>
        <item x="93"/>
        <item x="119"/>
        <item x="57"/>
        <item x="101"/>
        <item x="72"/>
        <item x="21"/>
        <item x="50"/>
        <item x="147"/>
        <item x="174"/>
        <item x="150"/>
        <item x="37"/>
        <item x="53"/>
        <item x="134"/>
        <item x="152"/>
        <item x="25"/>
        <item x="17"/>
        <item x="88"/>
        <item x="120"/>
        <item x="169"/>
        <item x="151"/>
        <item x="95"/>
        <item x="165"/>
        <item x="13"/>
        <item x="132"/>
        <item x="1"/>
        <item x="124"/>
        <item x="78"/>
        <item x="18"/>
        <item x="73"/>
        <item x="148"/>
        <item x="8"/>
        <item x="175"/>
        <item x="170"/>
        <item x="153"/>
        <item x="90"/>
        <item x="126"/>
        <item x="77"/>
        <item x="86"/>
        <item x="40"/>
        <item x="100"/>
        <item x="30"/>
        <item x="62"/>
        <item x="42"/>
        <item x="141"/>
        <item x="29"/>
        <item x="59"/>
        <item x="2"/>
        <item x="80"/>
        <item x="159"/>
        <item x="0"/>
        <item x="109"/>
        <item x="127"/>
        <item x="130"/>
        <item x="84"/>
        <item x="7"/>
        <item x="69"/>
        <item x="55"/>
        <item x="117"/>
        <item x="114"/>
        <item x="46"/>
        <item x="133"/>
        <item x="143"/>
        <item x="122"/>
        <item x="145"/>
        <item x="75"/>
        <item x="106"/>
        <item x="137"/>
        <item x="5"/>
        <item x="103"/>
        <item x="23"/>
        <item x="129"/>
        <item x="104"/>
        <item x="99"/>
        <item x="10"/>
        <item x="108"/>
        <item x="168"/>
        <item x="112"/>
        <item x="161"/>
        <item x="28"/>
        <item x="173"/>
        <item x="98"/>
        <item x="45"/>
        <item x="43"/>
        <item x="64"/>
        <item x="140"/>
        <item x="146"/>
        <item x="156"/>
        <item x="27"/>
        <item x="83"/>
        <item x="26"/>
        <item x="171"/>
        <item x="139"/>
        <item x="31"/>
        <item x="14"/>
        <item x="89"/>
        <item x="92"/>
        <item x="160"/>
        <item x="19"/>
        <item x="79"/>
        <item x="164"/>
        <item x="34"/>
        <item x="123"/>
        <item x="135"/>
        <item x="85"/>
        <item x="3"/>
        <item x="66"/>
        <item x="70"/>
        <item x="166"/>
        <item x="9"/>
        <item x="154"/>
        <item x="110"/>
        <item x="144"/>
        <item x="15"/>
        <item x="81"/>
        <item x="118"/>
        <item x="36"/>
        <item x="12"/>
        <item x="149"/>
        <item x="47"/>
        <item x="136"/>
        <item x="65"/>
        <item x="35"/>
        <item x="38"/>
        <item x="162"/>
        <item x="44"/>
        <item x="68"/>
        <item x="60"/>
        <item x="138"/>
        <item x="97"/>
        <item x="158"/>
        <item x="56"/>
        <item x="105"/>
        <item x="91"/>
        <item x="155"/>
        <item x="121"/>
        <item x="107"/>
        <item x="102"/>
        <item x="131"/>
        <item x="116"/>
        <item x="24"/>
        <item x="76"/>
        <item x="48"/>
        <item x="49"/>
        <item t="default"/>
      </items>
    </pivotField>
    <pivotField showAll="0">
      <items count="156">
        <item x="19"/>
        <item x="127"/>
        <item x="119"/>
        <item x="143"/>
        <item x="28"/>
        <item x="105"/>
        <item x="12"/>
        <item x="122"/>
        <item x="133"/>
        <item x="69"/>
        <item x="60"/>
        <item x="96"/>
        <item x="145"/>
        <item x="112"/>
        <item x="63"/>
        <item x="83"/>
        <item x="15"/>
        <item x="41"/>
        <item x="137"/>
        <item x="148"/>
        <item x="56"/>
        <item x="79"/>
        <item x="80"/>
        <item x="47"/>
        <item x="90"/>
        <item x="124"/>
        <item x="97"/>
        <item x="77"/>
        <item x="29"/>
        <item x="95"/>
        <item x="93"/>
        <item x="149"/>
        <item x="115"/>
        <item x="136"/>
        <item x="128"/>
        <item x="58"/>
        <item x="75"/>
        <item x="8"/>
        <item x="10"/>
        <item x="139"/>
        <item x="103"/>
        <item x="27"/>
        <item x="150"/>
        <item x="37"/>
        <item x="24"/>
        <item x="121"/>
        <item x="44"/>
        <item x="131"/>
        <item x="92"/>
        <item x="13"/>
        <item x="113"/>
        <item x="130"/>
        <item x="134"/>
        <item x="7"/>
        <item x="30"/>
        <item x="34"/>
        <item x="111"/>
        <item x="85"/>
        <item x="86"/>
        <item x="125"/>
        <item x="40"/>
        <item x="22"/>
        <item x="64"/>
        <item x="45"/>
        <item x="52"/>
        <item x="98"/>
        <item x="18"/>
        <item x="70"/>
        <item x="42"/>
        <item x="53"/>
        <item x="48"/>
        <item x="66"/>
        <item x="81"/>
        <item x="39"/>
        <item x="147"/>
        <item x="43"/>
        <item x="114"/>
        <item x="32"/>
        <item x="101"/>
        <item x="9"/>
        <item x="6"/>
        <item x="141"/>
        <item x="107"/>
        <item x="144"/>
        <item x="78"/>
        <item x="82"/>
        <item x="5"/>
        <item x="100"/>
        <item x="109"/>
        <item x="23"/>
        <item x="54"/>
        <item x="59"/>
        <item x="46"/>
        <item x="91"/>
        <item x="153"/>
        <item x="126"/>
        <item x="0"/>
        <item x="118"/>
        <item x="1"/>
        <item x="62"/>
        <item x="102"/>
        <item x="26"/>
        <item x="73"/>
        <item x="35"/>
        <item x="21"/>
        <item x="94"/>
        <item x="129"/>
        <item x="51"/>
        <item x="84"/>
        <item x="2"/>
        <item x="25"/>
        <item x="72"/>
        <item x="140"/>
        <item x="123"/>
        <item x="135"/>
        <item x="3"/>
        <item x="38"/>
        <item x="154"/>
        <item x="36"/>
        <item x="108"/>
        <item x="116"/>
        <item x="117"/>
        <item x="14"/>
        <item x="74"/>
        <item x="17"/>
        <item x="104"/>
        <item x="71"/>
        <item x="110"/>
        <item x="120"/>
        <item x="33"/>
        <item x="87"/>
        <item x="65"/>
        <item x="89"/>
        <item x="88"/>
        <item x="142"/>
        <item x="138"/>
        <item x="11"/>
        <item x="57"/>
        <item x="20"/>
        <item x="151"/>
        <item x="50"/>
        <item x="99"/>
        <item x="61"/>
        <item x="49"/>
        <item x="4"/>
        <item x="76"/>
        <item x="68"/>
        <item x="132"/>
        <item x="67"/>
        <item x="55"/>
        <item x="16"/>
        <item x="152"/>
        <item x="146"/>
        <item x="106"/>
        <item x="31"/>
        <item t="default"/>
      </items>
    </pivotField>
    <pivotField numFmtId="1" showAll="0">
      <items count="184">
        <item x="179"/>
        <item x="75"/>
        <item x="68"/>
        <item x="139"/>
        <item x="49"/>
        <item x="94"/>
        <item x="69"/>
        <item x="164"/>
        <item x="59"/>
        <item x="17"/>
        <item x="140"/>
        <item x="5"/>
        <item x="100"/>
        <item x="19"/>
        <item x="14"/>
        <item x="146"/>
        <item x="113"/>
        <item x="63"/>
        <item x="166"/>
        <item x="24"/>
        <item x="30"/>
        <item x="11"/>
        <item x="55"/>
        <item x="114"/>
        <item x="28"/>
        <item x="38"/>
        <item x="73"/>
        <item x="27"/>
        <item x="110"/>
        <item x="97"/>
        <item x="177"/>
        <item x="160"/>
        <item x="162"/>
        <item x="22"/>
        <item x="108"/>
        <item x="141"/>
        <item x="142"/>
        <item x="4"/>
        <item x="165"/>
        <item x="86"/>
        <item x="3"/>
        <item x="34"/>
        <item x="45"/>
        <item x="64"/>
        <item x="174"/>
        <item x="26"/>
        <item x="170"/>
        <item x="157"/>
        <item x="123"/>
        <item x="98"/>
        <item x="95"/>
        <item x="88"/>
        <item x="118"/>
        <item x="167"/>
        <item x="117"/>
        <item x="121"/>
        <item x="18"/>
        <item x="180"/>
        <item x="138"/>
        <item x="147"/>
        <item x="182"/>
        <item x="57"/>
        <item x="78"/>
        <item x="101"/>
        <item x="72"/>
        <item x="149"/>
        <item x="99"/>
        <item x="56"/>
        <item x="29"/>
        <item x="115"/>
        <item x="153"/>
        <item x="44"/>
        <item x="107"/>
        <item x="155"/>
        <item x="39"/>
        <item x="96"/>
        <item x="104"/>
        <item x="106"/>
        <item x="54"/>
        <item x="150"/>
        <item x="122"/>
        <item x="163"/>
        <item x="181"/>
        <item x="130"/>
        <item x="67"/>
        <item x="1"/>
        <item x="77"/>
        <item x="43"/>
        <item x="33"/>
        <item x="48"/>
        <item x="102"/>
        <item x="91"/>
        <item x="109"/>
        <item x="62"/>
        <item x="71"/>
        <item x="161"/>
        <item x="74"/>
        <item x="103"/>
        <item x="60"/>
        <item x="40"/>
        <item x="21"/>
        <item x="105"/>
        <item x="178"/>
        <item x="25"/>
        <item x="144"/>
        <item x="126"/>
        <item x="125"/>
        <item x="58"/>
        <item x="156"/>
        <item x="41"/>
        <item x="53"/>
        <item x="176"/>
        <item x="8"/>
        <item x="47"/>
        <item x="90"/>
        <item x="152"/>
        <item x="46"/>
        <item x="42"/>
        <item x="31"/>
        <item x="175"/>
        <item x="116"/>
        <item x="119"/>
        <item x="9"/>
        <item x="112"/>
        <item x="145"/>
        <item x="2"/>
        <item x="87"/>
        <item x="83"/>
        <item x="93"/>
        <item x="10"/>
        <item x="66"/>
        <item x="159"/>
        <item x="76"/>
        <item x="7"/>
        <item x="0"/>
        <item x="12"/>
        <item x="124"/>
        <item x="136"/>
        <item x="70"/>
        <item x="133"/>
        <item x="148"/>
        <item x="134"/>
        <item x="84"/>
        <item x="120"/>
        <item x="50"/>
        <item x="129"/>
        <item x="172"/>
        <item x="92"/>
        <item x="171"/>
        <item x="20"/>
        <item x="16"/>
        <item x="15"/>
        <item x="127"/>
        <item x="132"/>
        <item x="89"/>
        <item x="51"/>
        <item x="158"/>
        <item x="36"/>
        <item x="80"/>
        <item x="52"/>
        <item x="82"/>
        <item x="135"/>
        <item x="32"/>
        <item x="6"/>
        <item x="65"/>
        <item x="37"/>
        <item x="13"/>
        <item x="61"/>
        <item x="168"/>
        <item x="85"/>
        <item x="143"/>
        <item x="154"/>
        <item x="128"/>
        <item x="81"/>
        <item x="173"/>
        <item x="35"/>
        <item x="111"/>
        <item x="131"/>
        <item x="151"/>
        <item x="137"/>
        <item x="79"/>
        <item x="23"/>
        <item x="169"/>
        <item t="default"/>
      </items>
    </pivotField>
    <pivotField numFmtId="1" showAll="0">
      <items count="163">
        <item x="82"/>
        <item x="24"/>
        <item x="64"/>
        <item x="105"/>
        <item x="14"/>
        <item x="67"/>
        <item x="132"/>
        <item x="104"/>
        <item x="17"/>
        <item x="19"/>
        <item x="5"/>
        <item x="146"/>
        <item x="53"/>
        <item x="52"/>
        <item x="72"/>
        <item x="37"/>
        <item x="44"/>
        <item x="3"/>
        <item x="100"/>
        <item x="88"/>
        <item x="33"/>
        <item x="26"/>
        <item x="99"/>
        <item x="47"/>
        <item x="118"/>
        <item x="80"/>
        <item x="148"/>
        <item x="32"/>
        <item x="68"/>
        <item x="29"/>
        <item x="27"/>
        <item x="56"/>
        <item x="153"/>
        <item x="91"/>
        <item x="135"/>
        <item x="93"/>
        <item x="150"/>
        <item x="140"/>
        <item x="43"/>
        <item x="149"/>
        <item x="138"/>
        <item x="60"/>
        <item x="97"/>
        <item x="71"/>
        <item x="128"/>
        <item x="77"/>
        <item x="134"/>
        <item x="156"/>
        <item x="90"/>
        <item x="145"/>
        <item x="18"/>
        <item x="108"/>
        <item x="4"/>
        <item x="11"/>
        <item x="59"/>
        <item x="63"/>
        <item x="22"/>
        <item x="127"/>
        <item x="28"/>
        <item x="101"/>
        <item x="69"/>
        <item x="112"/>
        <item x="46"/>
        <item x="147"/>
        <item x="38"/>
        <item x="98"/>
        <item x="137"/>
        <item x="39"/>
        <item x="142"/>
        <item x="141"/>
        <item x="66"/>
        <item x="54"/>
        <item x="109"/>
        <item x="42"/>
        <item x="96"/>
        <item x="94"/>
        <item x="106"/>
        <item x="1"/>
        <item x="0"/>
        <item x="58"/>
        <item x="119"/>
        <item x="9"/>
        <item x="130"/>
        <item x="144"/>
        <item x="92"/>
        <item x="110"/>
        <item x="30"/>
        <item x="114"/>
        <item x="89"/>
        <item x="161"/>
        <item x="15"/>
        <item x="35"/>
        <item x="160"/>
        <item x="111"/>
        <item x="41"/>
        <item x="143"/>
        <item x="45"/>
        <item x="123"/>
        <item x="85"/>
        <item x="79"/>
        <item x="25"/>
        <item x="159"/>
        <item x="154"/>
        <item x="21"/>
        <item x="103"/>
        <item x="16"/>
        <item x="7"/>
        <item x="95"/>
        <item x="12"/>
        <item x="10"/>
        <item x="124"/>
        <item x="133"/>
        <item x="51"/>
        <item x="8"/>
        <item x="131"/>
        <item x="122"/>
        <item x="107"/>
        <item x="31"/>
        <item x="158"/>
        <item x="61"/>
        <item x="113"/>
        <item x="157"/>
        <item x="50"/>
        <item x="84"/>
        <item x="2"/>
        <item x="40"/>
        <item x="55"/>
        <item x="86"/>
        <item x="155"/>
        <item x="70"/>
        <item x="62"/>
        <item x="81"/>
        <item x="87"/>
        <item x="65"/>
        <item x="57"/>
        <item x="151"/>
        <item x="49"/>
        <item x="117"/>
        <item x="139"/>
        <item x="125"/>
        <item x="116"/>
        <item x="115"/>
        <item x="20"/>
        <item x="48"/>
        <item x="83"/>
        <item x="78"/>
        <item x="74"/>
        <item x="121"/>
        <item x="34"/>
        <item x="129"/>
        <item x="75"/>
        <item x="76"/>
        <item x="13"/>
        <item x="120"/>
        <item x="6"/>
        <item x="126"/>
        <item x="102"/>
        <item x="36"/>
        <item x="136"/>
        <item x="23"/>
        <item x="73"/>
        <item x="152"/>
        <item t="default"/>
      </items>
    </pivotField>
    <pivotField numFmtId="2" showAll="0">
      <items count="170">
        <item x="82"/>
        <item x="23"/>
        <item x="114"/>
        <item x="67"/>
        <item x="103"/>
        <item x="77"/>
        <item x="53"/>
        <item x="79"/>
        <item x="107"/>
        <item x="47"/>
        <item x="56"/>
        <item x="72"/>
        <item x="119"/>
        <item x="32"/>
        <item x="98"/>
        <item x="35"/>
        <item x="154"/>
        <item x="100"/>
        <item x="14"/>
        <item x="161"/>
        <item x="151"/>
        <item x="61"/>
        <item x="0"/>
        <item x="143"/>
        <item x="44"/>
        <item x="89"/>
        <item x="46"/>
        <item x="128"/>
        <item x="116"/>
        <item x="113"/>
        <item x="71"/>
        <item x="3"/>
        <item x="26"/>
        <item x="148"/>
        <item x="145"/>
        <item x="147"/>
        <item x="157"/>
        <item x="57"/>
        <item x="121"/>
        <item x="31"/>
        <item x="25"/>
        <item x="160"/>
        <item x="43"/>
        <item x="101"/>
        <item x="15"/>
        <item x="94"/>
        <item x="33"/>
        <item x="13"/>
        <item x="149"/>
        <item x="133"/>
        <item x="69"/>
        <item x="9"/>
        <item x="139"/>
        <item x="146"/>
        <item x="132"/>
        <item x="166"/>
        <item x="34"/>
        <item x="153"/>
        <item x="50"/>
        <item x="39"/>
        <item x="102"/>
        <item x="112"/>
        <item x="130"/>
        <item x="88"/>
        <item x="63"/>
        <item x="92"/>
        <item x="80"/>
        <item x="159"/>
        <item x="138"/>
        <item x="52"/>
        <item x="140"/>
        <item x="30"/>
        <item x="37"/>
        <item x="135"/>
        <item x="75"/>
        <item x="106"/>
        <item x="142"/>
        <item x="7"/>
        <item x="66"/>
        <item x="127"/>
        <item x="64"/>
        <item x="86"/>
        <item x="156"/>
        <item x="49"/>
        <item x="125"/>
        <item x="12"/>
        <item x="136"/>
        <item x="10"/>
        <item x="115"/>
        <item x="41"/>
        <item x="60"/>
        <item x="105"/>
        <item x="18"/>
        <item x="45"/>
        <item x="141"/>
        <item x="118"/>
        <item x="17"/>
        <item x="117"/>
        <item x="155"/>
        <item x="42"/>
        <item x="58"/>
        <item x="158"/>
        <item x="95"/>
        <item x="38"/>
        <item x="99"/>
        <item x="28"/>
        <item x="120"/>
        <item x="110"/>
        <item x="122"/>
        <item x="162"/>
        <item x="5"/>
        <item x="104"/>
        <item x="137"/>
        <item x="74"/>
        <item x="70"/>
        <item x="83"/>
        <item x="22"/>
        <item x="131"/>
        <item x="68"/>
        <item x="134"/>
        <item x="65"/>
        <item x="19"/>
        <item x="1"/>
        <item x="27"/>
        <item x="2"/>
        <item x="62"/>
        <item x="76"/>
        <item x="48"/>
        <item x="109"/>
        <item x="24"/>
        <item x="126"/>
        <item x="165"/>
        <item x="16"/>
        <item x="129"/>
        <item x="144"/>
        <item x="81"/>
        <item x="124"/>
        <item x="97"/>
        <item x="87"/>
        <item x="78"/>
        <item x="8"/>
        <item x="51"/>
        <item x="163"/>
        <item x="20"/>
        <item x="36"/>
        <item x="85"/>
        <item x="54"/>
        <item x="4"/>
        <item x="6"/>
        <item x="73"/>
        <item x="152"/>
        <item x="164"/>
        <item x="84"/>
        <item x="29"/>
        <item x="108"/>
        <item x="90"/>
        <item x="96"/>
        <item x="167"/>
        <item x="111"/>
        <item x="40"/>
        <item x="150"/>
        <item x="91"/>
        <item x="21"/>
        <item x="55"/>
        <item x="93"/>
        <item x="168"/>
        <item x="11"/>
        <item x="59"/>
        <item x="123"/>
        <item t="default"/>
      </items>
    </pivotField>
    <pivotField axis="axisRow" showAll="0">
      <items count="7">
        <item x="2"/>
        <item x="3"/>
        <item x="0"/>
        <item x="1"/>
        <item x="5"/>
        <item x="4"/>
        <item t="default"/>
      </items>
    </pivotField>
  </pivotFields>
  <rowFields count="1">
    <field x="14"/>
  </rowFields>
  <rowItems count="7">
    <i>
      <x/>
    </i>
    <i>
      <x v="1"/>
    </i>
    <i>
      <x v="2"/>
    </i>
    <i>
      <x v="3"/>
    </i>
    <i>
      <x v="4"/>
    </i>
    <i>
      <x v="5"/>
    </i>
    <i t="grand">
      <x/>
    </i>
  </rowItems>
  <colItems count="1">
    <i/>
  </colItems>
  <dataFields count="1">
    <dataField name="Sum of Recovered" fld="3" baseField="0" baseItem="0"/>
  </dataFields>
  <chartFormats count="2">
    <chartFormat chart="17"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4AEA6E2-F766-4ED9-BE39-388522304533}" name="PivotTable3"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21:B28" firstHeaderRow="1" firstDataRow="1" firstDataCol="1"/>
  <pivotFields count="15">
    <pivotField showAll="0">
      <items count="1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4"/>
        <item x="175"/>
        <item x="176"/>
        <item x="177"/>
        <item x="178"/>
        <item x="173"/>
        <item x="179"/>
        <item x="180"/>
        <item x="181"/>
        <item x="182"/>
        <item x="183"/>
        <item x="184"/>
        <item x="185"/>
        <item x="186"/>
        <item t="default"/>
      </items>
    </pivotField>
    <pivotField numFmtId="1" showAll="0">
      <items count="185">
        <item x="180"/>
        <item x="75"/>
        <item x="68"/>
        <item x="139"/>
        <item x="49"/>
        <item x="94"/>
        <item x="69"/>
        <item x="140"/>
        <item x="59"/>
        <item x="17"/>
        <item x="141"/>
        <item x="129"/>
        <item x="5"/>
        <item x="19"/>
        <item x="14"/>
        <item x="147"/>
        <item x="112"/>
        <item x="24"/>
        <item x="168"/>
        <item x="30"/>
        <item x="55"/>
        <item x="113"/>
        <item x="63"/>
        <item x="109"/>
        <item x="27"/>
        <item x="38"/>
        <item x="28"/>
        <item x="11"/>
        <item x="73"/>
        <item x="179"/>
        <item x="163"/>
        <item x="97"/>
        <item x="165"/>
        <item x="162"/>
        <item x="142"/>
        <item x="107"/>
        <item x="22"/>
        <item x="86"/>
        <item x="143"/>
        <item x="167"/>
        <item x="3"/>
        <item x="34"/>
        <item x="4"/>
        <item x="45"/>
        <item x="26"/>
        <item x="172"/>
        <item x="122"/>
        <item x="64"/>
        <item x="98"/>
        <item x="88"/>
        <item x="176"/>
        <item x="95"/>
        <item x="169"/>
        <item x="159"/>
        <item x="120"/>
        <item x="181"/>
        <item x="116"/>
        <item x="18"/>
        <item x="148"/>
        <item x="117"/>
        <item x="78"/>
        <item x="138"/>
        <item x="72"/>
        <item x="100"/>
        <item x="56"/>
        <item x="151"/>
        <item x="150"/>
        <item x="155"/>
        <item x="57"/>
        <item x="29"/>
        <item x="106"/>
        <item x="44"/>
        <item x="183"/>
        <item x="157"/>
        <item x="99"/>
        <item x="114"/>
        <item x="54"/>
        <item x="152"/>
        <item x="39"/>
        <item x="166"/>
        <item x="105"/>
        <item x="121"/>
        <item x="103"/>
        <item x="96"/>
        <item x="67"/>
        <item x="77"/>
        <item x="130"/>
        <item x="182"/>
        <item x="33"/>
        <item x="1"/>
        <item x="43"/>
        <item x="48"/>
        <item x="108"/>
        <item x="101"/>
        <item x="71"/>
        <item x="62"/>
        <item x="164"/>
        <item x="74"/>
        <item x="60"/>
        <item x="91"/>
        <item x="40"/>
        <item x="104"/>
        <item x="125"/>
        <item x="102"/>
        <item x="145"/>
        <item x="124"/>
        <item x="21"/>
        <item x="25"/>
        <item x="158"/>
        <item x="47"/>
        <item x="154"/>
        <item x="58"/>
        <item x="53"/>
        <item x="8"/>
        <item x="46"/>
        <item x="42"/>
        <item x="41"/>
        <item x="178"/>
        <item x="31"/>
        <item x="90"/>
        <item x="118"/>
        <item x="9"/>
        <item x="115"/>
        <item x="177"/>
        <item x="111"/>
        <item x="146"/>
        <item x="83"/>
        <item x="2"/>
        <item x="10"/>
        <item x="87"/>
        <item x="93"/>
        <item x="66"/>
        <item x="161"/>
        <item x="0"/>
        <item x="7"/>
        <item x="12"/>
        <item x="76"/>
        <item x="123"/>
        <item x="133"/>
        <item x="70"/>
        <item x="136"/>
        <item x="134"/>
        <item x="149"/>
        <item x="119"/>
        <item x="174"/>
        <item x="128"/>
        <item x="84"/>
        <item x="50"/>
        <item x="92"/>
        <item x="16"/>
        <item x="173"/>
        <item x="15"/>
        <item x="20"/>
        <item x="126"/>
        <item x="160"/>
        <item x="51"/>
        <item x="132"/>
        <item x="89"/>
        <item x="36"/>
        <item x="52"/>
        <item x="80"/>
        <item x="135"/>
        <item x="82"/>
        <item x="32"/>
        <item x="6"/>
        <item x="65"/>
        <item x="61"/>
        <item x="13"/>
        <item x="170"/>
        <item x="85"/>
        <item x="37"/>
        <item x="144"/>
        <item x="156"/>
        <item x="127"/>
        <item x="81"/>
        <item x="175"/>
        <item x="35"/>
        <item x="131"/>
        <item x="110"/>
        <item x="153"/>
        <item x="137"/>
        <item x="79"/>
        <item x="23"/>
        <item x="171"/>
        <item t="default"/>
      </items>
    </pivotField>
    <pivotField dataField="1" numFmtId="1" showAll="0">
      <items count="151">
        <item x="19"/>
        <item x="26"/>
        <item x="17"/>
        <item x="5"/>
        <item x="96"/>
        <item x="115"/>
        <item x="25"/>
        <item x="14"/>
        <item x="56"/>
        <item x="92"/>
        <item x="68"/>
        <item x="11"/>
        <item x="83"/>
        <item x="117"/>
        <item x="91"/>
        <item x="57"/>
        <item x="137"/>
        <item x="41"/>
        <item x="64"/>
        <item x="136"/>
        <item x="27"/>
        <item x="131"/>
        <item x="63"/>
        <item x="122"/>
        <item x="123"/>
        <item x="82"/>
        <item x="51"/>
        <item x="18"/>
        <item x="149"/>
        <item x="134"/>
        <item x="4"/>
        <item x="116"/>
        <item x="107"/>
        <item x="62"/>
        <item x="128"/>
        <item x="98"/>
        <item x="55"/>
        <item x="138"/>
        <item x="49"/>
        <item x="3"/>
        <item x="24"/>
        <item x="35"/>
        <item x="44"/>
        <item x="30"/>
        <item x="135"/>
        <item x="85"/>
        <item x="121"/>
        <item x="50"/>
        <item x="84"/>
        <item x="31"/>
        <item x="146"/>
        <item x="86"/>
        <item x="40"/>
        <item x="88"/>
        <item x="125"/>
        <item x="38"/>
        <item x="89"/>
        <item x="100"/>
        <item x="87"/>
        <item x="37"/>
        <item x="124"/>
        <item x="144"/>
        <item x="90"/>
        <item x="39"/>
        <item x="148"/>
        <item x="12"/>
        <item x="1"/>
        <item x="145"/>
        <item x="93"/>
        <item x="65"/>
        <item x="112"/>
        <item x="8"/>
        <item x="59"/>
        <item x="79"/>
        <item x="119"/>
        <item x="60"/>
        <item x="36"/>
        <item x="52"/>
        <item x="103"/>
        <item x="78"/>
        <item x="21"/>
        <item x="127"/>
        <item x="97"/>
        <item x="53"/>
        <item x="142"/>
        <item x="23"/>
        <item x="42"/>
        <item x="28"/>
        <item x="104"/>
        <item x="48"/>
        <item x="10"/>
        <item x="80"/>
        <item x="102"/>
        <item x="74"/>
        <item x="147"/>
        <item x="15"/>
        <item x="120"/>
        <item x="77"/>
        <item x="67"/>
        <item x="43"/>
        <item x="7"/>
        <item x="9"/>
        <item x="130"/>
        <item x="95"/>
        <item x="101"/>
        <item x="76"/>
        <item x="45"/>
        <item x="2"/>
        <item x="66"/>
        <item x="0"/>
        <item x="81"/>
        <item x="106"/>
        <item x="141"/>
        <item x="110"/>
        <item x="111"/>
        <item x="61"/>
        <item x="73"/>
        <item x="109"/>
        <item x="133"/>
        <item x="113"/>
        <item x="20"/>
        <item x="118"/>
        <item x="13"/>
        <item x="6"/>
        <item x="72"/>
        <item x="47"/>
        <item x="33"/>
        <item x="70"/>
        <item x="46"/>
        <item x="139"/>
        <item x="132"/>
        <item x="105"/>
        <item x="99"/>
        <item x="126"/>
        <item x="34"/>
        <item x="29"/>
        <item x="58"/>
        <item x="32"/>
        <item x="16"/>
        <item x="114"/>
        <item x="71"/>
        <item x="108"/>
        <item x="129"/>
        <item x="54"/>
        <item x="69"/>
        <item x="75"/>
        <item x="94"/>
        <item x="143"/>
        <item x="22"/>
        <item x="140"/>
        <item t="default"/>
      </items>
    </pivotField>
    <pivotField numFmtId="1" showAll="0">
      <items count="179">
        <item x="32"/>
        <item x="174"/>
        <item x="127"/>
        <item x="73"/>
        <item x="67"/>
        <item x="137"/>
        <item x="49"/>
        <item x="92"/>
        <item x="138"/>
        <item x="68"/>
        <item x="17"/>
        <item x="139"/>
        <item x="22"/>
        <item x="5"/>
        <item x="62"/>
        <item x="98"/>
        <item x="19"/>
        <item x="11"/>
        <item x="14"/>
        <item x="115"/>
        <item x="111"/>
        <item x="95"/>
        <item x="24"/>
        <item x="30"/>
        <item x="71"/>
        <item x="159"/>
        <item x="117"/>
        <item x="55"/>
        <item x="112"/>
        <item x="4"/>
        <item x="27"/>
        <item x="28"/>
        <item x="38"/>
        <item x="108"/>
        <item x="172"/>
        <item x="157"/>
        <item x="177"/>
        <item x="97"/>
        <item x="161"/>
        <item x="96"/>
        <item x="140"/>
        <item x="106"/>
        <item x="84"/>
        <item x="141"/>
        <item x="3"/>
        <item x="113"/>
        <item x="34"/>
        <item x="39"/>
        <item x="175"/>
        <item x="54"/>
        <item x="45"/>
        <item x="63"/>
        <item x="155"/>
        <item x="26"/>
        <item x="169"/>
        <item x="136"/>
        <item x="165"/>
        <item x="57"/>
        <item x="120"/>
        <item x="18"/>
        <item x="86"/>
        <item x="93"/>
        <item x="162"/>
        <item x="151"/>
        <item x="144"/>
        <item x="66"/>
        <item x="168"/>
        <item x="118"/>
        <item x="148"/>
        <item x="33"/>
        <item x="29"/>
        <item x="146"/>
        <item x="99"/>
        <item x="102"/>
        <item x="94"/>
        <item x="147"/>
        <item x="76"/>
        <item x="105"/>
        <item x="56"/>
        <item x="153"/>
        <item x="44"/>
        <item x="119"/>
        <item x="104"/>
        <item x="1"/>
        <item x="176"/>
        <item x="128"/>
        <item x="160"/>
        <item x="75"/>
        <item x="173"/>
        <item x="41"/>
        <item x="43"/>
        <item x="89"/>
        <item x="72"/>
        <item x="107"/>
        <item x="61"/>
        <item x="100"/>
        <item x="21"/>
        <item x="48"/>
        <item x="74"/>
        <item x="122"/>
        <item x="25"/>
        <item x="40"/>
        <item x="154"/>
        <item x="158"/>
        <item x="70"/>
        <item x="101"/>
        <item x="58"/>
        <item x="143"/>
        <item x="59"/>
        <item x="53"/>
        <item x="88"/>
        <item x="103"/>
        <item x="123"/>
        <item x="8"/>
        <item x="171"/>
        <item x="42"/>
        <item x="46"/>
        <item x="170"/>
        <item x="47"/>
        <item x="150"/>
        <item x="116"/>
        <item x="31"/>
        <item x="110"/>
        <item x="114"/>
        <item x="16"/>
        <item x="121"/>
        <item x="9"/>
        <item x="2"/>
        <item x="91"/>
        <item x="20"/>
        <item x="85"/>
        <item x="10"/>
        <item x="81"/>
        <item x="0"/>
        <item x="134"/>
        <item x="130"/>
        <item x="7"/>
        <item x="82"/>
        <item x="65"/>
        <item x="50"/>
        <item x="156"/>
        <item x="69"/>
        <item x="131"/>
        <item x="52"/>
        <item x="51"/>
        <item x="126"/>
        <item x="132"/>
        <item x="12"/>
        <item x="166"/>
        <item x="145"/>
        <item x="167"/>
        <item x="87"/>
        <item x="90"/>
        <item x="124"/>
        <item x="78"/>
        <item x="15"/>
        <item x="6"/>
        <item x="80"/>
        <item x="36"/>
        <item x="60"/>
        <item x="133"/>
        <item x="13"/>
        <item x="37"/>
        <item x="152"/>
        <item x="64"/>
        <item x="83"/>
        <item x="163"/>
        <item x="142"/>
        <item x="125"/>
        <item x="79"/>
        <item x="129"/>
        <item x="149"/>
        <item x="109"/>
        <item x="35"/>
        <item x="135"/>
        <item x="77"/>
        <item x="164"/>
        <item x="23"/>
        <item t="default"/>
      </items>
    </pivotField>
    <pivotField numFmtId="1" showAll="0">
      <items count="174">
        <item x="24"/>
        <item x="65"/>
        <item x="104"/>
        <item x="94"/>
        <item x="107"/>
        <item x="14"/>
        <item x="157"/>
        <item x="19"/>
        <item x="152"/>
        <item x="5"/>
        <item x="37"/>
        <item x="17"/>
        <item x="73"/>
        <item x="47"/>
        <item x="102"/>
        <item x="116"/>
        <item x="33"/>
        <item x="54"/>
        <item x="123"/>
        <item x="3"/>
        <item x="168"/>
        <item x="108"/>
        <item x="53"/>
        <item x="137"/>
        <item x="27"/>
        <item x="29"/>
        <item x="43"/>
        <item x="133"/>
        <item x="26"/>
        <item x="83"/>
        <item x="119"/>
        <item x="155"/>
        <item x="81"/>
        <item x="161"/>
        <item x="89"/>
        <item x="57"/>
        <item x="99"/>
        <item x="69"/>
        <item x="44"/>
        <item x="61"/>
        <item x="165"/>
        <item x="141"/>
        <item x="158"/>
        <item x="156"/>
        <item x="60"/>
        <item x="11"/>
        <item x="154"/>
        <item x="95"/>
        <item x="91"/>
        <item x="170"/>
        <item x="138"/>
        <item x="92"/>
        <item x="101"/>
        <item x="72"/>
        <item x="149"/>
        <item x="140"/>
        <item x="46"/>
        <item x="151"/>
        <item x="4"/>
        <item x="147"/>
        <item x="22"/>
        <item x="18"/>
        <item x="67"/>
        <item x="28"/>
        <item x="78"/>
        <item x="42"/>
        <item x="100"/>
        <item x="115"/>
        <item x="144"/>
        <item x="132"/>
        <item x="145"/>
        <item x="68"/>
        <item x="153"/>
        <item x="55"/>
        <item x="96"/>
        <item x="103"/>
        <item x="142"/>
        <item x="171"/>
        <item x="9"/>
        <item x="124"/>
        <item x="111"/>
        <item x="112"/>
        <item x="98"/>
        <item x="1"/>
        <item x="109"/>
        <item x="90"/>
        <item x="172"/>
        <item x="52"/>
        <item x="30"/>
        <item x="93"/>
        <item x="38"/>
        <item x="59"/>
        <item x="64"/>
        <item x="70"/>
        <item x="39"/>
        <item x="32"/>
        <item x="135"/>
        <item x="129"/>
        <item x="86"/>
        <item x="12"/>
        <item x="35"/>
        <item x="97"/>
        <item x="63"/>
        <item x="45"/>
        <item x="110"/>
        <item x="118"/>
        <item x="25"/>
        <item x="148"/>
        <item x="113"/>
        <item x="139"/>
        <item x="41"/>
        <item x="21"/>
        <item x="8"/>
        <item x="167"/>
        <item x="15"/>
        <item x="106"/>
        <item x="163"/>
        <item x="10"/>
        <item x="169"/>
        <item x="51"/>
        <item x="62"/>
        <item x="56"/>
        <item x="2"/>
        <item x="82"/>
        <item x="127"/>
        <item x="87"/>
        <item x="166"/>
        <item x="0"/>
        <item x="85"/>
        <item x="7"/>
        <item x="88"/>
        <item x="159"/>
        <item x="66"/>
        <item x="40"/>
        <item x="80"/>
        <item x="128"/>
        <item x="130"/>
        <item x="34"/>
        <item x="120"/>
        <item x="117"/>
        <item x="76"/>
        <item x="136"/>
        <item x="122"/>
        <item x="121"/>
        <item x="162"/>
        <item x="84"/>
        <item x="77"/>
        <item x="48"/>
        <item x="71"/>
        <item x="79"/>
        <item x="75"/>
        <item x="16"/>
        <item x="49"/>
        <item x="134"/>
        <item x="20"/>
        <item x="114"/>
        <item x="105"/>
        <item x="50"/>
        <item x="126"/>
        <item x="150"/>
        <item x="6"/>
        <item x="146"/>
        <item x="13"/>
        <item x="125"/>
        <item x="31"/>
        <item x="58"/>
        <item x="36"/>
        <item x="143"/>
        <item x="131"/>
        <item x="164"/>
        <item x="74"/>
        <item x="23"/>
        <item x="160"/>
        <item t="default"/>
      </items>
    </pivotField>
    <pivotField numFmtId="1" showAll="0">
      <items count="123">
        <item x="14"/>
        <item x="25"/>
        <item x="45"/>
        <item x="37"/>
        <item x="5"/>
        <item x="47"/>
        <item x="51"/>
        <item x="27"/>
        <item x="68"/>
        <item x="40"/>
        <item x="3"/>
        <item x="64"/>
        <item x="32"/>
        <item x="22"/>
        <item x="88"/>
        <item x="23"/>
        <item x="4"/>
        <item x="57"/>
        <item x="24"/>
        <item x="108"/>
        <item x="35"/>
        <item x="58"/>
        <item x="106"/>
        <item x="82"/>
        <item x="54"/>
        <item x="36"/>
        <item x="109"/>
        <item x="11"/>
        <item x="107"/>
        <item x="110"/>
        <item x="56"/>
        <item x="50"/>
        <item x="19"/>
        <item x="100"/>
        <item x="34"/>
        <item x="112"/>
        <item x="77"/>
        <item x="83"/>
        <item x="121"/>
        <item x="7"/>
        <item x="102"/>
        <item x="9"/>
        <item x="80"/>
        <item x="92"/>
        <item x="0"/>
        <item x="39"/>
        <item x="1"/>
        <item x="15"/>
        <item x="79"/>
        <item x="87"/>
        <item x="74"/>
        <item x="96"/>
        <item x="84"/>
        <item x="120"/>
        <item x="75"/>
        <item x="31"/>
        <item x="66"/>
        <item x="38"/>
        <item x="21"/>
        <item x="49"/>
        <item x="29"/>
        <item x="55"/>
        <item x="116"/>
        <item x="97"/>
        <item x="95"/>
        <item x="12"/>
        <item x="8"/>
        <item x="70"/>
        <item x="76"/>
        <item x="10"/>
        <item x="111"/>
        <item x="16"/>
        <item x="44"/>
        <item x="103"/>
        <item x="85"/>
        <item x="43"/>
        <item x="52"/>
        <item x="59"/>
        <item x="42"/>
        <item x="104"/>
        <item x="73"/>
        <item x="71"/>
        <item x="119"/>
        <item x="46"/>
        <item x="67"/>
        <item x="72"/>
        <item x="81"/>
        <item x="33"/>
        <item x="2"/>
        <item x="86"/>
        <item x="53"/>
        <item x="118"/>
        <item x="26"/>
        <item x="117"/>
        <item x="18"/>
        <item x="115"/>
        <item x="113"/>
        <item x="89"/>
        <item x="98"/>
        <item x="91"/>
        <item x="90"/>
        <item x="41"/>
        <item x="61"/>
        <item x="69"/>
        <item x="94"/>
        <item x="17"/>
        <item x="101"/>
        <item x="65"/>
        <item x="28"/>
        <item x="62"/>
        <item x="48"/>
        <item x="63"/>
        <item x="13"/>
        <item x="6"/>
        <item x="78"/>
        <item x="99"/>
        <item x="105"/>
        <item x="93"/>
        <item x="30"/>
        <item x="20"/>
        <item x="60"/>
        <item x="114"/>
        <item t="default"/>
      </items>
    </pivotField>
    <pivotField numFmtId="1" showAll="0">
      <items count="39">
        <item x="3"/>
        <item x="4"/>
        <item x="16"/>
        <item x="15"/>
        <item x="7"/>
        <item x="20"/>
        <item x="1"/>
        <item x="11"/>
        <item x="2"/>
        <item x="31"/>
        <item x="0"/>
        <item x="12"/>
        <item x="30"/>
        <item x="9"/>
        <item x="27"/>
        <item x="18"/>
        <item x="34"/>
        <item x="17"/>
        <item x="28"/>
        <item x="21"/>
        <item x="32"/>
        <item x="6"/>
        <item x="19"/>
        <item x="22"/>
        <item x="24"/>
        <item x="8"/>
        <item x="13"/>
        <item x="35"/>
        <item x="26"/>
        <item x="5"/>
        <item x="25"/>
        <item x="36"/>
        <item x="29"/>
        <item x="14"/>
        <item x="33"/>
        <item x="10"/>
        <item x="23"/>
        <item x="37"/>
        <item t="default"/>
      </items>
    </pivotField>
    <pivotField numFmtId="1" showAll="0">
      <items count="104">
        <item x="3"/>
        <item x="14"/>
        <item x="21"/>
        <item x="98"/>
        <item x="24"/>
        <item x="4"/>
        <item x="20"/>
        <item x="26"/>
        <item x="93"/>
        <item x="17"/>
        <item x="13"/>
        <item x="88"/>
        <item x="58"/>
        <item x="0"/>
        <item x="62"/>
        <item x="22"/>
        <item x="59"/>
        <item x="67"/>
        <item x="90"/>
        <item x="101"/>
        <item x="8"/>
        <item x="81"/>
        <item x="37"/>
        <item x="89"/>
        <item x="85"/>
        <item x="80"/>
        <item x="92"/>
        <item x="1"/>
        <item x="12"/>
        <item x="83"/>
        <item x="32"/>
        <item x="28"/>
        <item x="33"/>
        <item x="30"/>
        <item x="54"/>
        <item x="87"/>
        <item x="23"/>
        <item x="44"/>
        <item x="50"/>
        <item x="73"/>
        <item x="66"/>
        <item x="45"/>
        <item x="36"/>
        <item x="7"/>
        <item x="51"/>
        <item x="78"/>
        <item x="76"/>
        <item x="38"/>
        <item x="84"/>
        <item x="60"/>
        <item x="31"/>
        <item x="6"/>
        <item x="29"/>
        <item x="91"/>
        <item x="100"/>
        <item x="40"/>
        <item x="63"/>
        <item x="19"/>
        <item x="65"/>
        <item x="41"/>
        <item x="39"/>
        <item x="55"/>
        <item x="77"/>
        <item x="42"/>
        <item x="15"/>
        <item x="96"/>
        <item x="97"/>
        <item x="75"/>
        <item x="52"/>
        <item x="16"/>
        <item x="10"/>
        <item x="102"/>
        <item x="9"/>
        <item x="99"/>
        <item x="68"/>
        <item x="61"/>
        <item x="56"/>
        <item x="2"/>
        <item x="57"/>
        <item x="69"/>
        <item x="43"/>
        <item x="72"/>
        <item x="94"/>
        <item x="35"/>
        <item x="47"/>
        <item x="34"/>
        <item x="70"/>
        <item x="11"/>
        <item x="53"/>
        <item x="25"/>
        <item x="49"/>
        <item x="48"/>
        <item x="5"/>
        <item x="82"/>
        <item x="79"/>
        <item x="71"/>
        <item x="74"/>
        <item x="64"/>
        <item x="86"/>
        <item x="27"/>
        <item x="95"/>
        <item x="46"/>
        <item x="18"/>
        <item t="default"/>
      </items>
    </pivotField>
    <pivotField numFmtId="2" showAll="0">
      <items count="146">
        <item x="19"/>
        <item x="119"/>
        <item x="110"/>
        <item x="136"/>
        <item x="28"/>
        <item x="22"/>
        <item x="12"/>
        <item x="124"/>
        <item x="98"/>
        <item x="88"/>
        <item x="59"/>
        <item x="105"/>
        <item x="68"/>
        <item x="140"/>
        <item x="138"/>
        <item x="40"/>
        <item x="62"/>
        <item x="97"/>
        <item x="55"/>
        <item x="78"/>
        <item x="39"/>
        <item x="73"/>
        <item x="15"/>
        <item x="130"/>
        <item x="141"/>
        <item x="77"/>
        <item x="29"/>
        <item x="115"/>
        <item x="8"/>
        <item x="46"/>
        <item x="85"/>
        <item x="75"/>
        <item x="32"/>
        <item x="13"/>
        <item x="63"/>
        <item x="10"/>
        <item x="57"/>
        <item x="52"/>
        <item x="96"/>
        <item x="129"/>
        <item x="95"/>
        <item x="53"/>
        <item x="79"/>
        <item x="114"/>
        <item x="112"/>
        <item x="50"/>
        <item x="37"/>
        <item x="27"/>
        <item x="132"/>
        <item x="86"/>
        <item x="43"/>
        <item x="6"/>
        <item x="7"/>
        <item x="18"/>
        <item x="116"/>
        <item x="122"/>
        <item x="133"/>
        <item x="102"/>
        <item x="121"/>
        <item x="24"/>
        <item x="65"/>
        <item x="117"/>
        <item x="69"/>
        <item x="30"/>
        <item x="38"/>
        <item x="107"/>
        <item x="83"/>
        <item x="44"/>
        <item x="137"/>
        <item x="56"/>
        <item x="135"/>
        <item x="80"/>
        <item x="90"/>
        <item x="82"/>
        <item x="34"/>
        <item x="87"/>
        <item x="49"/>
        <item x="104"/>
        <item x="21"/>
        <item x="41"/>
        <item x="11"/>
        <item x="91"/>
        <item x="66"/>
        <item x="1"/>
        <item x="144"/>
        <item x="100"/>
        <item x="76"/>
        <item x="93"/>
        <item x="25"/>
        <item x="51"/>
        <item x="36"/>
        <item x="109"/>
        <item x="42"/>
        <item x="94"/>
        <item x="9"/>
        <item x="5"/>
        <item x="0"/>
        <item x="23"/>
        <item x="118"/>
        <item x="20"/>
        <item x="108"/>
        <item x="61"/>
        <item x="81"/>
        <item x="71"/>
        <item x="131"/>
        <item x="2"/>
        <item x="17"/>
        <item x="4"/>
        <item x="58"/>
        <item x="45"/>
        <item x="103"/>
        <item x="106"/>
        <item x="60"/>
        <item x="111"/>
        <item x="26"/>
        <item x="89"/>
        <item x="48"/>
        <item x="64"/>
        <item x="35"/>
        <item x="134"/>
        <item x="70"/>
        <item x="120"/>
        <item x="3"/>
        <item x="127"/>
        <item x="128"/>
        <item x="113"/>
        <item x="101"/>
        <item x="84"/>
        <item x="125"/>
        <item x="14"/>
        <item x="72"/>
        <item x="47"/>
        <item x="126"/>
        <item x="31"/>
        <item x="33"/>
        <item x="142"/>
        <item x="123"/>
        <item x="92"/>
        <item x="99"/>
        <item x="67"/>
        <item x="54"/>
        <item x="74"/>
        <item x="16"/>
        <item x="139"/>
        <item x="143"/>
        <item t="default"/>
      </items>
    </pivotField>
    <pivotField numFmtId="2" showAll="0">
      <items count="178">
        <item x="32"/>
        <item x="115"/>
        <item x="167"/>
        <item x="113"/>
        <item x="22"/>
        <item x="74"/>
        <item x="125"/>
        <item x="176"/>
        <item x="63"/>
        <item x="96"/>
        <item x="11"/>
        <item x="41"/>
        <item x="94"/>
        <item x="4"/>
        <item x="39"/>
        <item x="16"/>
        <item x="54"/>
        <item x="111"/>
        <item x="20"/>
        <item x="163"/>
        <item x="128"/>
        <item x="67"/>
        <item x="33"/>
        <item x="142"/>
        <item x="172"/>
        <item x="157"/>
        <item x="61"/>
        <item x="52"/>
        <item x="71"/>
        <item x="82"/>
        <item x="51"/>
        <item x="6"/>
        <item x="87"/>
        <item x="58"/>
        <item x="93"/>
        <item x="119"/>
        <item x="57"/>
        <item x="101"/>
        <item x="72"/>
        <item x="21"/>
        <item x="50"/>
        <item x="147"/>
        <item x="174"/>
        <item x="150"/>
        <item x="37"/>
        <item x="53"/>
        <item x="134"/>
        <item x="152"/>
        <item x="25"/>
        <item x="17"/>
        <item x="88"/>
        <item x="120"/>
        <item x="169"/>
        <item x="151"/>
        <item x="95"/>
        <item x="165"/>
        <item x="13"/>
        <item x="132"/>
        <item x="1"/>
        <item x="124"/>
        <item x="78"/>
        <item x="18"/>
        <item x="73"/>
        <item x="148"/>
        <item x="8"/>
        <item x="175"/>
        <item x="170"/>
        <item x="153"/>
        <item x="90"/>
        <item x="126"/>
        <item x="77"/>
        <item x="86"/>
        <item x="40"/>
        <item x="100"/>
        <item x="30"/>
        <item x="62"/>
        <item x="42"/>
        <item x="141"/>
        <item x="29"/>
        <item x="59"/>
        <item x="2"/>
        <item x="80"/>
        <item x="159"/>
        <item x="0"/>
        <item x="109"/>
        <item x="127"/>
        <item x="130"/>
        <item x="84"/>
        <item x="7"/>
        <item x="69"/>
        <item x="55"/>
        <item x="117"/>
        <item x="114"/>
        <item x="46"/>
        <item x="133"/>
        <item x="143"/>
        <item x="122"/>
        <item x="145"/>
        <item x="75"/>
        <item x="106"/>
        <item x="137"/>
        <item x="5"/>
        <item x="103"/>
        <item x="23"/>
        <item x="129"/>
        <item x="104"/>
        <item x="99"/>
        <item x="10"/>
        <item x="108"/>
        <item x="168"/>
        <item x="112"/>
        <item x="161"/>
        <item x="28"/>
        <item x="173"/>
        <item x="98"/>
        <item x="45"/>
        <item x="43"/>
        <item x="64"/>
        <item x="140"/>
        <item x="146"/>
        <item x="156"/>
        <item x="27"/>
        <item x="83"/>
        <item x="26"/>
        <item x="171"/>
        <item x="139"/>
        <item x="31"/>
        <item x="14"/>
        <item x="89"/>
        <item x="92"/>
        <item x="160"/>
        <item x="19"/>
        <item x="79"/>
        <item x="164"/>
        <item x="34"/>
        <item x="123"/>
        <item x="135"/>
        <item x="85"/>
        <item x="3"/>
        <item x="66"/>
        <item x="70"/>
        <item x="166"/>
        <item x="9"/>
        <item x="154"/>
        <item x="110"/>
        <item x="144"/>
        <item x="15"/>
        <item x="81"/>
        <item x="118"/>
        <item x="36"/>
        <item x="12"/>
        <item x="149"/>
        <item x="47"/>
        <item x="136"/>
        <item x="65"/>
        <item x="35"/>
        <item x="38"/>
        <item x="162"/>
        <item x="44"/>
        <item x="68"/>
        <item x="60"/>
        <item x="138"/>
        <item x="97"/>
        <item x="158"/>
        <item x="56"/>
        <item x="105"/>
        <item x="91"/>
        <item x="155"/>
        <item x="121"/>
        <item x="107"/>
        <item x="102"/>
        <item x="131"/>
        <item x="116"/>
        <item x="24"/>
        <item x="76"/>
        <item x="48"/>
        <item x="49"/>
        <item t="default"/>
      </items>
    </pivotField>
    <pivotField showAll="0">
      <items count="156">
        <item x="19"/>
        <item x="127"/>
        <item x="119"/>
        <item x="143"/>
        <item x="28"/>
        <item x="105"/>
        <item x="12"/>
        <item x="122"/>
        <item x="133"/>
        <item x="69"/>
        <item x="60"/>
        <item x="96"/>
        <item x="145"/>
        <item x="112"/>
        <item x="63"/>
        <item x="83"/>
        <item x="15"/>
        <item x="41"/>
        <item x="137"/>
        <item x="148"/>
        <item x="56"/>
        <item x="79"/>
        <item x="80"/>
        <item x="47"/>
        <item x="90"/>
        <item x="124"/>
        <item x="97"/>
        <item x="77"/>
        <item x="29"/>
        <item x="95"/>
        <item x="93"/>
        <item x="149"/>
        <item x="115"/>
        <item x="136"/>
        <item x="128"/>
        <item x="58"/>
        <item x="75"/>
        <item x="8"/>
        <item x="10"/>
        <item x="139"/>
        <item x="103"/>
        <item x="27"/>
        <item x="150"/>
        <item x="37"/>
        <item x="24"/>
        <item x="121"/>
        <item x="44"/>
        <item x="131"/>
        <item x="92"/>
        <item x="13"/>
        <item x="113"/>
        <item x="130"/>
        <item x="134"/>
        <item x="7"/>
        <item x="30"/>
        <item x="34"/>
        <item x="111"/>
        <item x="85"/>
        <item x="86"/>
        <item x="125"/>
        <item x="40"/>
        <item x="22"/>
        <item x="64"/>
        <item x="45"/>
        <item x="52"/>
        <item x="98"/>
        <item x="18"/>
        <item x="70"/>
        <item x="42"/>
        <item x="53"/>
        <item x="48"/>
        <item x="66"/>
        <item x="81"/>
        <item x="39"/>
        <item x="147"/>
        <item x="43"/>
        <item x="114"/>
        <item x="32"/>
        <item x="101"/>
        <item x="9"/>
        <item x="6"/>
        <item x="141"/>
        <item x="107"/>
        <item x="144"/>
        <item x="78"/>
        <item x="82"/>
        <item x="5"/>
        <item x="100"/>
        <item x="109"/>
        <item x="23"/>
        <item x="54"/>
        <item x="59"/>
        <item x="46"/>
        <item x="91"/>
        <item x="153"/>
        <item x="126"/>
        <item x="0"/>
        <item x="118"/>
        <item x="1"/>
        <item x="62"/>
        <item x="102"/>
        <item x="26"/>
        <item x="73"/>
        <item x="35"/>
        <item x="21"/>
        <item x="94"/>
        <item x="129"/>
        <item x="51"/>
        <item x="84"/>
        <item x="2"/>
        <item x="25"/>
        <item x="72"/>
        <item x="140"/>
        <item x="123"/>
        <item x="135"/>
        <item x="3"/>
        <item x="38"/>
        <item x="154"/>
        <item x="36"/>
        <item x="108"/>
        <item x="116"/>
        <item x="117"/>
        <item x="14"/>
        <item x="74"/>
        <item x="17"/>
        <item x="104"/>
        <item x="71"/>
        <item x="110"/>
        <item x="120"/>
        <item x="33"/>
        <item x="87"/>
        <item x="65"/>
        <item x="89"/>
        <item x="88"/>
        <item x="142"/>
        <item x="138"/>
        <item x="11"/>
        <item x="57"/>
        <item x="20"/>
        <item x="151"/>
        <item x="50"/>
        <item x="99"/>
        <item x="61"/>
        <item x="49"/>
        <item x="4"/>
        <item x="76"/>
        <item x="68"/>
        <item x="132"/>
        <item x="67"/>
        <item x="55"/>
        <item x="16"/>
        <item x="152"/>
        <item x="146"/>
        <item x="106"/>
        <item x="31"/>
        <item t="default"/>
      </items>
    </pivotField>
    <pivotField numFmtId="1" showAll="0">
      <items count="184">
        <item x="179"/>
        <item x="75"/>
        <item x="68"/>
        <item x="139"/>
        <item x="49"/>
        <item x="94"/>
        <item x="69"/>
        <item x="164"/>
        <item x="59"/>
        <item x="17"/>
        <item x="140"/>
        <item x="5"/>
        <item x="100"/>
        <item x="19"/>
        <item x="14"/>
        <item x="146"/>
        <item x="113"/>
        <item x="63"/>
        <item x="166"/>
        <item x="24"/>
        <item x="30"/>
        <item x="11"/>
        <item x="55"/>
        <item x="114"/>
        <item x="28"/>
        <item x="38"/>
        <item x="73"/>
        <item x="27"/>
        <item x="110"/>
        <item x="97"/>
        <item x="177"/>
        <item x="160"/>
        <item x="162"/>
        <item x="22"/>
        <item x="108"/>
        <item x="141"/>
        <item x="142"/>
        <item x="4"/>
        <item x="165"/>
        <item x="86"/>
        <item x="3"/>
        <item x="34"/>
        <item x="45"/>
        <item x="64"/>
        <item x="174"/>
        <item x="26"/>
        <item x="170"/>
        <item x="157"/>
        <item x="123"/>
        <item x="98"/>
        <item x="95"/>
        <item x="88"/>
        <item x="118"/>
        <item x="167"/>
        <item x="117"/>
        <item x="121"/>
        <item x="18"/>
        <item x="180"/>
        <item x="138"/>
        <item x="147"/>
        <item x="182"/>
        <item x="57"/>
        <item x="78"/>
        <item x="101"/>
        <item x="72"/>
        <item x="149"/>
        <item x="99"/>
        <item x="56"/>
        <item x="29"/>
        <item x="115"/>
        <item x="153"/>
        <item x="44"/>
        <item x="107"/>
        <item x="155"/>
        <item x="39"/>
        <item x="96"/>
        <item x="104"/>
        <item x="106"/>
        <item x="54"/>
        <item x="150"/>
        <item x="122"/>
        <item x="163"/>
        <item x="181"/>
        <item x="130"/>
        <item x="67"/>
        <item x="1"/>
        <item x="77"/>
        <item x="43"/>
        <item x="33"/>
        <item x="48"/>
        <item x="102"/>
        <item x="91"/>
        <item x="109"/>
        <item x="62"/>
        <item x="71"/>
        <item x="161"/>
        <item x="74"/>
        <item x="103"/>
        <item x="60"/>
        <item x="40"/>
        <item x="21"/>
        <item x="105"/>
        <item x="178"/>
        <item x="25"/>
        <item x="144"/>
        <item x="126"/>
        <item x="125"/>
        <item x="58"/>
        <item x="156"/>
        <item x="41"/>
        <item x="53"/>
        <item x="176"/>
        <item x="8"/>
        <item x="47"/>
        <item x="90"/>
        <item x="152"/>
        <item x="46"/>
        <item x="42"/>
        <item x="31"/>
        <item x="175"/>
        <item x="116"/>
        <item x="119"/>
        <item x="9"/>
        <item x="112"/>
        <item x="145"/>
        <item x="2"/>
        <item x="87"/>
        <item x="83"/>
        <item x="93"/>
        <item x="10"/>
        <item x="66"/>
        <item x="159"/>
        <item x="76"/>
        <item x="7"/>
        <item x="0"/>
        <item x="12"/>
        <item x="124"/>
        <item x="136"/>
        <item x="70"/>
        <item x="133"/>
        <item x="148"/>
        <item x="134"/>
        <item x="84"/>
        <item x="120"/>
        <item x="50"/>
        <item x="129"/>
        <item x="172"/>
        <item x="92"/>
        <item x="171"/>
        <item x="20"/>
        <item x="16"/>
        <item x="15"/>
        <item x="127"/>
        <item x="132"/>
        <item x="89"/>
        <item x="51"/>
        <item x="158"/>
        <item x="36"/>
        <item x="80"/>
        <item x="52"/>
        <item x="82"/>
        <item x="135"/>
        <item x="32"/>
        <item x="6"/>
        <item x="65"/>
        <item x="37"/>
        <item x="13"/>
        <item x="61"/>
        <item x="168"/>
        <item x="85"/>
        <item x="143"/>
        <item x="154"/>
        <item x="128"/>
        <item x="81"/>
        <item x="173"/>
        <item x="35"/>
        <item x="111"/>
        <item x="131"/>
        <item x="151"/>
        <item x="137"/>
        <item x="79"/>
        <item x="23"/>
        <item x="169"/>
        <item t="default"/>
      </items>
    </pivotField>
    <pivotField numFmtId="1" showAll="0">
      <items count="163">
        <item x="82"/>
        <item x="24"/>
        <item x="64"/>
        <item x="105"/>
        <item x="14"/>
        <item x="67"/>
        <item x="132"/>
        <item x="104"/>
        <item x="17"/>
        <item x="19"/>
        <item x="5"/>
        <item x="146"/>
        <item x="53"/>
        <item x="52"/>
        <item x="72"/>
        <item x="37"/>
        <item x="44"/>
        <item x="3"/>
        <item x="100"/>
        <item x="88"/>
        <item x="33"/>
        <item x="26"/>
        <item x="99"/>
        <item x="47"/>
        <item x="118"/>
        <item x="80"/>
        <item x="148"/>
        <item x="32"/>
        <item x="68"/>
        <item x="29"/>
        <item x="27"/>
        <item x="56"/>
        <item x="153"/>
        <item x="91"/>
        <item x="135"/>
        <item x="93"/>
        <item x="150"/>
        <item x="140"/>
        <item x="43"/>
        <item x="149"/>
        <item x="138"/>
        <item x="60"/>
        <item x="97"/>
        <item x="71"/>
        <item x="128"/>
        <item x="77"/>
        <item x="134"/>
        <item x="156"/>
        <item x="90"/>
        <item x="145"/>
        <item x="18"/>
        <item x="108"/>
        <item x="4"/>
        <item x="11"/>
        <item x="59"/>
        <item x="63"/>
        <item x="22"/>
        <item x="127"/>
        <item x="28"/>
        <item x="101"/>
        <item x="69"/>
        <item x="112"/>
        <item x="46"/>
        <item x="147"/>
        <item x="38"/>
        <item x="98"/>
        <item x="137"/>
        <item x="39"/>
        <item x="142"/>
        <item x="141"/>
        <item x="66"/>
        <item x="54"/>
        <item x="109"/>
        <item x="42"/>
        <item x="96"/>
        <item x="94"/>
        <item x="106"/>
        <item x="1"/>
        <item x="0"/>
        <item x="58"/>
        <item x="119"/>
        <item x="9"/>
        <item x="130"/>
        <item x="144"/>
        <item x="92"/>
        <item x="110"/>
        <item x="30"/>
        <item x="114"/>
        <item x="89"/>
        <item x="161"/>
        <item x="15"/>
        <item x="35"/>
        <item x="160"/>
        <item x="111"/>
        <item x="41"/>
        <item x="143"/>
        <item x="45"/>
        <item x="123"/>
        <item x="85"/>
        <item x="79"/>
        <item x="25"/>
        <item x="159"/>
        <item x="154"/>
        <item x="21"/>
        <item x="103"/>
        <item x="16"/>
        <item x="7"/>
        <item x="95"/>
        <item x="12"/>
        <item x="10"/>
        <item x="124"/>
        <item x="133"/>
        <item x="51"/>
        <item x="8"/>
        <item x="131"/>
        <item x="122"/>
        <item x="107"/>
        <item x="31"/>
        <item x="158"/>
        <item x="61"/>
        <item x="113"/>
        <item x="157"/>
        <item x="50"/>
        <item x="84"/>
        <item x="2"/>
        <item x="40"/>
        <item x="55"/>
        <item x="86"/>
        <item x="155"/>
        <item x="70"/>
        <item x="62"/>
        <item x="81"/>
        <item x="87"/>
        <item x="65"/>
        <item x="57"/>
        <item x="151"/>
        <item x="49"/>
        <item x="117"/>
        <item x="139"/>
        <item x="125"/>
        <item x="116"/>
        <item x="115"/>
        <item x="20"/>
        <item x="48"/>
        <item x="83"/>
        <item x="78"/>
        <item x="74"/>
        <item x="121"/>
        <item x="34"/>
        <item x="129"/>
        <item x="75"/>
        <item x="76"/>
        <item x="13"/>
        <item x="120"/>
        <item x="6"/>
        <item x="126"/>
        <item x="102"/>
        <item x="36"/>
        <item x="136"/>
        <item x="23"/>
        <item x="73"/>
        <item x="152"/>
        <item t="default"/>
      </items>
    </pivotField>
    <pivotField numFmtId="2" showAll="0">
      <items count="170">
        <item x="82"/>
        <item x="23"/>
        <item x="114"/>
        <item x="67"/>
        <item x="103"/>
        <item x="77"/>
        <item x="53"/>
        <item x="79"/>
        <item x="107"/>
        <item x="47"/>
        <item x="56"/>
        <item x="72"/>
        <item x="119"/>
        <item x="32"/>
        <item x="98"/>
        <item x="35"/>
        <item x="154"/>
        <item x="100"/>
        <item x="14"/>
        <item x="161"/>
        <item x="151"/>
        <item x="61"/>
        <item x="0"/>
        <item x="143"/>
        <item x="44"/>
        <item x="89"/>
        <item x="46"/>
        <item x="128"/>
        <item x="116"/>
        <item x="113"/>
        <item x="71"/>
        <item x="3"/>
        <item x="26"/>
        <item x="148"/>
        <item x="145"/>
        <item x="147"/>
        <item x="157"/>
        <item x="57"/>
        <item x="121"/>
        <item x="31"/>
        <item x="25"/>
        <item x="160"/>
        <item x="43"/>
        <item x="101"/>
        <item x="15"/>
        <item x="94"/>
        <item x="33"/>
        <item x="13"/>
        <item x="149"/>
        <item x="133"/>
        <item x="69"/>
        <item x="9"/>
        <item x="139"/>
        <item x="146"/>
        <item x="132"/>
        <item x="166"/>
        <item x="34"/>
        <item x="153"/>
        <item x="50"/>
        <item x="39"/>
        <item x="102"/>
        <item x="112"/>
        <item x="130"/>
        <item x="88"/>
        <item x="63"/>
        <item x="92"/>
        <item x="80"/>
        <item x="159"/>
        <item x="138"/>
        <item x="52"/>
        <item x="140"/>
        <item x="30"/>
        <item x="37"/>
        <item x="135"/>
        <item x="75"/>
        <item x="106"/>
        <item x="142"/>
        <item x="7"/>
        <item x="66"/>
        <item x="127"/>
        <item x="64"/>
        <item x="86"/>
        <item x="156"/>
        <item x="49"/>
        <item x="125"/>
        <item x="12"/>
        <item x="136"/>
        <item x="10"/>
        <item x="115"/>
        <item x="41"/>
        <item x="60"/>
        <item x="105"/>
        <item x="18"/>
        <item x="45"/>
        <item x="141"/>
        <item x="118"/>
        <item x="17"/>
        <item x="117"/>
        <item x="155"/>
        <item x="42"/>
        <item x="58"/>
        <item x="158"/>
        <item x="95"/>
        <item x="38"/>
        <item x="99"/>
        <item x="28"/>
        <item x="120"/>
        <item x="110"/>
        <item x="122"/>
        <item x="162"/>
        <item x="5"/>
        <item x="104"/>
        <item x="137"/>
        <item x="74"/>
        <item x="70"/>
        <item x="83"/>
        <item x="22"/>
        <item x="131"/>
        <item x="68"/>
        <item x="134"/>
        <item x="65"/>
        <item x="19"/>
        <item x="1"/>
        <item x="27"/>
        <item x="2"/>
        <item x="62"/>
        <item x="76"/>
        <item x="48"/>
        <item x="109"/>
        <item x="24"/>
        <item x="126"/>
        <item x="165"/>
        <item x="16"/>
        <item x="129"/>
        <item x="144"/>
        <item x="81"/>
        <item x="124"/>
        <item x="97"/>
        <item x="87"/>
        <item x="78"/>
        <item x="8"/>
        <item x="51"/>
        <item x="163"/>
        <item x="20"/>
        <item x="36"/>
        <item x="85"/>
        <item x="54"/>
        <item x="4"/>
        <item x="6"/>
        <item x="73"/>
        <item x="152"/>
        <item x="164"/>
        <item x="84"/>
        <item x="29"/>
        <item x="108"/>
        <item x="90"/>
        <item x="96"/>
        <item x="167"/>
        <item x="111"/>
        <item x="40"/>
        <item x="150"/>
        <item x="91"/>
        <item x="21"/>
        <item x="55"/>
        <item x="93"/>
        <item x="168"/>
        <item x="11"/>
        <item x="59"/>
        <item x="123"/>
        <item t="default"/>
      </items>
    </pivotField>
    <pivotField axis="axisRow" showAll="0">
      <items count="7">
        <item x="2"/>
        <item x="3"/>
        <item x="0"/>
        <item x="1"/>
        <item x="5"/>
        <item x="4"/>
        <item t="default"/>
      </items>
    </pivotField>
  </pivotFields>
  <rowFields count="1">
    <field x="14"/>
  </rowFields>
  <rowItems count="7">
    <i>
      <x/>
    </i>
    <i>
      <x v="1"/>
    </i>
    <i>
      <x v="2"/>
    </i>
    <i>
      <x v="3"/>
    </i>
    <i>
      <x v="4"/>
    </i>
    <i>
      <x v="5"/>
    </i>
    <i t="grand">
      <x/>
    </i>
  </rowItems>
  <colItems count="1">
    <i/>
  </colItems>
  <dataFields count="1">
    <dataField name="Sum of Deaths" fld="2" baseField="0" baseItem="0"/>
  </dataFields>
  <chartFormats count="2">
    <chartFormat chart="12"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4F2C999-8458-4BD4-822C-90390C2A6A1C}" name="PivotTable2"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10:B17" firstHeaderRow="1" firstDataRow="1" firstDataCol="1"/>
  <pivotFields count="15">
    <pivotField showAll="0">
      <items count="1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4"/>
        <item x="175"/>
        <item x="176"/>
        <item x="177"/>
        <item x="178"/>
        <item x="173"/>
        <item x="179"/>
        <item x="180"/>
        <item x="181"/>
        <item x="182"/>
        <item x="183"/>
        <item x="184"/>
        <item x="185"/>
        <item x="186"/>
        <item t="default"/>
      </items>
    </pivotField>
    <pivotField dataField="1" numFmtId="1" showAll="0">
      <items count="185">
        <item x="180"/>
        <item x="75"/>
        <item x="68"/>
        <item x="139"/>
        <item x="49"/>
        <item x="94"/>
        <item x="69"/>
        <item x="140"/>
        <item x="59"/>
        <item x="17"/>
        <item x="141"/>
        <item x="129"/>
        <item x="5"/>
        <item x="19"/>
        <item x="14"/>
        <item x="147"/>
        <item x="112"/>
        <item x="24"/>
        <item x="168"/>
        <item x="30"/>
        <item x="55"/>
        <item x="113"/>
        <item x="63"/>
        <item x="109"/>
        <item x="27"/>
        <item x="38"/>
        <item x="28"/>
        <item x="11"/>
        <item x="73"/>
        <item x="179"/>
        <item x="163"/>
        <item x="97"/>
        <item x="165"/>
        <item x="162"/>
        <item x="142"/>
        <item x="107"/>
        <item x="22"/>
        <item x="86"/>
        <item x="143"/>
        <item x="167"/>
        <item x="3"/>
        <item x="34"/>
        <item x="4"/>
        <item x="45"/>
        <item x="26"/>
        <item x="172"/>
        <item x="122"/>
        <item x="64"/>
        <item x="98"/>
        <item x="88"/>
        <item x="176"/>
        <item x="95"/>
        <item x="169"/>
        <item x="159"/>
        <item x="120"/>
        <item x="181"/>
        <item x="116"/>
        <item x="18"/>
        <item x="148"/>
        <item x="117"/>
        <item x="78"/>
        <item x="138"/>
        <item x="72"/>
        <item x="100"/>
        <item x="56"/>
        <item x="151"/>
        <item x="150"/>
        <item x="155"/>
        <item x="57"/>
        <item x="29"/>
        <item x="106"/>
        <item x="44"/>
        <item x="183"/>
        <item x="157"/>
        <item x="99"/>
        <item x="114"/>
        <item x="54"/>
        <item x="152"/>
        <item x="39"/>
        <item x="166"/>
        <item x="105"/>
        <item x="121"/>
        <item x="103"/>
        <item x="96"/>
        <item x="67"/>
        <item x="77"/>
        <item x="130"/>
        <item x="182"/>
        <item x="33"/>
        <item x="1"/>
        <item x="43"/>
        <item x="48"/>
        <item x="108"/>
        <item x="101"/>
        <item x="71"/>
        <item x="62"/>
        <item x="164"/>
        <item x="74"/>
        <item x="60"/>
        <item x="91"/>
        <item x="40"/>
        <item x="104"/>
        <item x="125"/>
        <item x="102"/>
        <item x="145"/>
        <item x="124"/>
        <item x="21"/>
        <item x="25"/>
        <item x="158"/>
        <item x="47"/>
        <item x="154"/>
        <item x="58"/>
        <item x="53"/>
        <item x="8"/>
        <item x="46"/>
        <item x="42"/>
        <item x="41"/>
        <item x="178"/>
        <item x="31"/>
        <item x="90"/>
        <item x="118"/>
        <item x="9"/>
        <item x="115"/>
        <item x="177"/>
        <item x="111"/>
        <item x="146"/>
        <item x="83"/>
        <item x="2"/>
        <item x="10"/>
        <item x="87"/>
        <item x="93"/>
        <item x="66"/>
        <item x="161"/>
        <item x="0"/>
        <item x="7"/>
        <item x="12"/>
        <item x="76"/>
        <item x="123"/>
        <item x="133"/>
        <item x="70"/>
        <item x="136"/>
        <item x="134"/>
        <item x="149"/>
        <item x="119"/>
        <item x="174"/>
        <item x="128"/>
        <item x="84"/>
        <item x="50"/>
        <item x="92"/>
        <item x="16"/>
        <item x="173"/>
        <item x="15"/>
        <item x="20"/>
        <item x="126"/>
        <item x="160"/>
        <item x="51"/>
        <item x="132"/>
        <item x="89"/>
        <item x="36"/>
        <item x="52"/>
        <item x="80"/>
        <item x="135"/>
        <item x="82"/>
        <item x="32"/>
        <item x="6"/>
        <item x="65"/>
        <item x="61"/>
        <item x="13"/>
        <item x="170"/>
        <item x="85"/>
        <item x="37"/>
        <item x="144"/>
        <item x="156"/>
        <item x="127"/>
        <item x="81"/>
        <item x="175"/>
        <item x="35"/>
        <item x="131"/>
        <item x="110"/>
        <item x="153"/>
        <item x="137"/>
        <item x="79"/>
        <item x="23"/>
        <item x="171"/>
        <item t="default"/>
      </items>
    </pivotField>
    <pivotField numFmtId="1" showAll="0">
      <items count="151">
        <item x="19"/>
        <item x="26"/>
        <item x="17"/>
        <item x="5"/>
        <item x="96"/>
        <item x="115"/>
        <item x="25"/>
        <item x="14"/>
        <item x="56"/>
        <item x="92"/>
        <item x="68"/>
        <item x="11"/>
        <item x="83"/>
        <item x="117"/>
        <item x="91"/>
        <item x="57"/>
        <item x="137"/>
        <item x="41"/>
        <item x="64"/>
        <item x="136"/>
        <item x="27"/>
        <item x="131"/>
        <item x="63"/>
        <item x="122"/>
        <item x="123"/>
        <item x="82"/>
        <item x="51"/>
        <item x="18"/>
        <item x="149"/>
        <item x="134"/>
        <item x="4"/>
        <item x="116"/>
        <item x="107"/>
        <item x="62"/>
        <item x="128"/>
        <item x="98"/>
        <item x="55"/>
        <item x="138"/>
        <item x="49"/>
        <item x="3"/>
        <item x="24"/>
        <item x="35"/>
        <item x="44"/>
        <item x="30"/>
        <item x="135"/>
        <item x="85"/>
        <item x="121"/>
        <item x="50"/>
        <item x="84"/>
        <item x="31"/>
        <item x="146"/>
        <item x="86"/>
        <item x="40"/>
        <item x="88"/>
        <item x="125"/>
        <item x="38"/>
        <item x="89"/>
        <item x="100"/>
        <item x="87"/>
        <item x="37"/>
        <item x="124"/>
        <item x="144"/>
        <item x="90"/>
        <item x="39"/>
        <item x="148"/>
        <item x="12"/>
        <item x="1"/>
        <item x="145"/>
        <item x="93"/>
        <item x="65"/>
        <item x="112"/>
        <item x="8"/>
        <item x="59"/>
        <item x="79"/>
        <item x="119"/>
        <item x="60"/>
        <item x="36"/>
        <item x="52"/>
        <item x="103"/>
        <item x="78"/>
        <item x="21"/>
        <item x="127"/>
        <item x="97"/>
        <item x="53"/>
        <item x="142"/>
        <item x="23"/>
        <item x="42"/>
        <item x="28"/>
        <item x="104"/>
        <item x="48"/>
        <item x="10"/>
        <item x="80"/>
        <item x="102"/>
        <item x="74"/>
        <item x="147"/>
        <item x="15"/>
        <item x="120"/>
        <item x="77"/>
        <item x="67"/>
        <item x="43"/>
        <item x="7"/>
        <item x="9"/>
        <item x="130"/>
        <item x="95"/>
        <item x="101"/>
        <item x="76"/>
        <item x="45"/>
        <item x="2"/>
        <item x="66"/>
        <item x="0"/>
        <item x="81"/>
        <item x="106"/>
        <item x="141"/>
        <item x="110"/>
        <item x="111"/>
        <item x="61"/>
        <item x="73"/>
        <item x="109"/>
        <item x="133"/>
        <item x="113"/>
        <item x="20"/>
        <item x="118"/>
        <item x="13"/>
        <item x="6"/>
        <item x="72"/>
        <item x="47"/>
        <item x="33"/>
        <item x="70"/>
        <item x="46"/>
        <item x="139"/>
        <item x="132"/>
        <item x="105"/>
        <item x="99"/>
        <item x="126"/>
        <item x="34"/>
        <item x="29"/>
        <item x="58"/>
        <item x="32"/>
        <item x="16"/>
        <item x="114"/>
        <item x="71"/>
        <item x="108"/>
        <item x="129"/>
        <item x="54"/>
        <item x="69"/>
        <item x="75"/>
        <item x="94"/>
        <item x="143"/>
        <item x="22"/>
        <item x="140"/>
        <item t="default"/>
      </items>
    </pivotField>
    <pivotField numFmtId="1" showAll="0">
      <items count="179">
        <item x="32"/>
        <item x="174"/>
        <item x="127"/>
        <item x="73"/>
        <item x="67"/>
        <item x="137"/>
        <item x="49"/>
        <item x="92"/>
        <item x="138"/>
        <item x="68"/>
        <item x="17"/>
        <item x="139"/>
        <item x="22"/>
        <item x="5"/>
        <item x="62"/>
        <item x="98"/>
        <item x="19"/>
        <item x="11"/>
        <item x="14"/>
        <item x="115"/>
        <item x="111"/>
        <item x="95"/>
        <item x="24"/>
        <item x="30"/>
        <item x="71"/>
        <item x="159"/>
        <item x="117"/>
        <item x="55"/>
        <item x="112"/>
        <item x="4"/>
        <item x="27"/>
        <item x="28"/>
        <item x="38"/>
        <item x="108"/>
        <item x="172"/>
        <item x="157"/>
        <item x="177"/>
        <item x="97"/>
        <item x="161"/>
        <item x="96"/>
        <item x="140"/>
        <item x="106"/>
        <item x="84"/>
        <item x="141"/>
        <item x="3"/>
        <item x="113"/>
        <item x="34"/>
        <item x="39"/>
        <item x="175"/>
        <item x="54"/>
        <item x="45"/>
        <item x="63"/>
        <item x="155"/>
        <item x="26"/>
        <item x="169"/>
        <item x="136"/>
        <item x="165"/>
        <item x="57"/>
        <item x="120"/>
        <item x="18"/>
        <item x="86"/>
        <item x="93"/>
        <item x="162"/>
        <item x="151"/>
        <item x="144"/>
        <item x="66"/>
        <item x="168"/>
        <item x="118"/>
        <item x="148"/>
        <item x="33"/>
        <item x="29"/>
        <item x="146"/>
        <item x="99"/>
        <item x="102"/>
        <item x="94"/>
        <item x="147"/>
        <item x="76"/>
        <item x="105"/>
        <item x="56"/>
        <item x="153"/>
        <item x="44"/>
        <item x="119"/>
        <item x="104"/>
        <item x="1"/>
        <item x="176"/>
        <item x="128"/>
        <item x="160"/>
        <item x="75"/>
        <item x="173"/>
        <item x="41"/>
        <item x="43"/>
        <item x="89"/>
        <item x="72"/>
        <item x="107"/>
        <item x="61"/>
        <item x="100"/>
        <item x="21"/>
        <item x="48"/>
        <item x="74"/>
        <item x="122"/>
        <item x="25"/>
        <item x="40"/>
        <item x="154"/>
        <item x="158"/>
        <item x="70"/>
        <item x="101"/>
        <item x="58"/>
        <item x="143"/>
        <item x="59"/>
        <item x="53"/>
        <item x="88"/>
        <item x="103"/>
        <item x="123"/>
        <item x="8"/>
        <item x="171"/>
        <item x="42"/>
        <item x="46"/>
        <item x="170"/>
        <item x="47"/>
        <item x="150"/>
        <item x="116"/>
        <item x="31"/>
        <item x="110"/>
        <item x="114"/>
        <item x="16"/>
        <item x="121"/>
        <item x="9"/>
        <item x="2"/>
        <item x="91"/>
        <item x="20"/>
        <item x="85"/>
        <item x="10"/>
        <item x="81"/>
        <item x="0"/>
        <item x="134"/>
        <item x="130"/>
        <item x="7"/>
        <item x="82"/>
        <item x="65"/>
        <item x="50"/>
        <item x="156"/>
        <item x="69"/>
        <item x="131"/>
        <item x="52"/>
        <item x="51"/>
        <item x="126"/>
        <item x="132"/>
        <item x="12"/>
        <item x="166"/>
        <item x="145"/>
        <item x="167"/>
        <item x="87"/>
        <item x="90"/>
        <item x="124"/>
        <item x="78"/>
        <item x="15"/>
        <item x="6"/>
        <item x="80"/>
        <item x="36"/>
        <item x="60"/>
        <item x="133"/>
        <item x="13"/>
        <item x="37"/>
        <item x="152"/>
        <item x="64"/>
        <item x="83"/>
        <item x="163"/>
        <item x="142"/>
        <item x="125"/>
        <item x="79"/>
        <item x="129"/>
        <item x="149"/>
        <item x="109"/>
        <item x="35"/>
        <item x="135"/>
        <item x="77"/>
        <item x="164"/>
        <item x="23"/>
        <item t="default"/>
      </items>
    </pivotField>
    <pivotField numFmtId="1" showAll="0">
      <items count="174">
        <item x="24"/>
        <item x="65"/>
        <item x="104"/>
        <item x="94"/>
        <item x="107"/>
        <item x="14"/>
        <item x="157"/>
        <item x="19"/>
        <item x="152"/>
        <item x="5"/>
        <item x="37"/>
        <item x="17"/>
        <item x="73"/>
        <item x="47"/>
        <item x="102"/>
        <item x="116"/>
        <item x="33"/>
        <item x="54"/>
        <item x="123"/>
        <item x="3"/>
        <item x="168"/>
        <item x="108"/>
        <item x="53"/>
        <item x="137"/>
        <item x="27"/>
        <item x="29"/>
        <item x="43"/>
        <item x="133"/>
        <item x="26"/>
        <item x="83"/>
        <item x="119"/>
        <item x="155"/>
        <item x="81"/>
        <item x="161"/>
        <item x="89"/>
        <item x="57"/>
        <item x="99"/>
        <item x="69"/>
        <item x="44"/>
        <item x="61"/>
        <item x="165"/>
        <item x="141"/>
        <item x="158"/>
        <item x="156"/>
        <item x="60"/>
        <item x="11"/>
        <item x="154"/>
        <item x="95"/>
        <item x="91"/>
        <item x="170"/>
        <item x="138"/>
        <item x="92"/>
        <item x="101"/>
        <item x="72"/>
        <item x="149"/>
        <item x="140"/>
        <item x="46"/>
        <item x="151"/>
        <item x="4"/>
        <item x="147"/>
        <item x="22"/>
        <item x="18"/>
        <item x="67"/>
        <item x="28"/>
        <item x="78"/>
        <item x="42"/>
        <item x="100"/>
        <item x="115"/>
        <item x="144"/>
        <item x="132"/>
        <item x="145"/>
        <item x="68"/>
        <item x="153"/>
        <item x="55"/>
        <item x="96"/>
        <item x="103"/>
        <item x="142"/>
        <item x="171"/>
        <item x="9"/>
        <item x="124"/>
        <item x="111"/>
        <item x="112"/>
        <item x="98"/>
        <item x="1"/>
        <item x="109"/>
        <item x="90"/>
        <item x="172"/>
        <item x="52"/>
        <item x="30"/>
        <item x="93"/>
        <item x="38"/>
        <item x="59"/>
        <item x="64"/>
        <item x="70"/>
        <item x="39"/>
        <item x="32"/>
        <item x="135"/>
        <item x="129"/>
        <item x="86"/>
        <item x="12"/>
        <item x="35"/>
        <item x="97"/>
        <item x="63"/>
        <item x="45"/>
        <item x="110"/>
        <item x="118"/>
        <item x="25"/>
        <item x="148"/>
        <item x="113"/>
        <item x="139"/>
        <item x="41"/>
        <item x="21"/>
        <item x="8"/>
        <item x="167"/>
        <item x="15"/>
        <item x="106"/>
        <item x="163"/>
        <item x="10"/>
        <item x="169"/>
        <item x="51"/>
        <item x="62"/>
        <item x="56"/>
        <item x="2"/>
        <item x="82"/>
        <item x="127"/>
        <item x="87"/>
        <item x="166"/>
        <item x="0"/>
        <item x="85"/>
        <item x="7"/>
        <item x="88"/>
        <item x="159"/>
        <item x="66"/>
        <item x="40"/>
        <item x="80"/>
        <item x="128"/>
        <item x="130"/>
        <item x="34"/>
        <item x="120"/>
        <item x="117"/>
        <item x="76"/>
        <item x="136"/>
        <item x="122"/>
        <item x="121"/>
        <item x="162"/>
        <item x="84"/>
        <item x="77"/>
        <item x="48"/>
        <item x="71"/>
        <item x="79"/>
        <item x="75"/>
        <item x="16"/>
        <item x="49"/>
        <item x="134"/>
        <item x="20"/>
        <item x="114"/>
        <item x="105"/>
        <item x="50"/>
        <item x="126"/>
        <item x="150"/>
        <item x="6"/>
        <item x="146"/>
        <item x="13"/>
        <item x="125"/>
        <item x="31"/>
        <item x="58"/>
        <item x="36"/>
        <item x="143"/>
        <item x="131"/>
        <item x="164"/>
        <item x="74"/>
        <item x="23"/>
        <item x="160"/>
        <item t="default"/>
      </items>
    </pivotField>
    <pivotField numFmtId="1" showAll="0">
      <items count="123">
        <item x="14"/>
        <item x="25"/>
        <item x="45"/>
        <item x="37"/>
        <item x="5"/>
        <item x="47"/>
        <item x="51"/>
        <item x="27"/>
        <item x="68"/>
        <item x="40"/>
        <item x="3"/>
        <item x="64"/>
        <item x="32"/>
        <item x="22"/>
        <item x="88"/>
        <item x="23"/>
        <item x="4"/>
        <item x="57"/>
        <item x="24"/>
        <item x="108"/>
        <item x="35"/>
        <item x="58"/>
        <item x="106"/>
        <item x="82"/>
        <item x="54"/>
        <item x="36"/>
        <item x="109"/>
        <item x="11"/>
        <item x="107"/>
        <item x="110"/>
        <item x="56"/>
        <item x="50"/>
        <item x="19"/>
        <item x="100"/>
        <item x="34"/>
        <item x="112"/>
        <item x="77"/>
        <item x="83"/>
        <item x="121"/>
        <item x="7"/>
        <item x="102"/>
        <item x="9"/>
        <item x="80"/>
        <item x="92"/>
        <item x="0"/>
        <item x="39"/>
        <item x="1"/>
        <item x="15"/>
        <item x="79"/>
        <item x="87"/>
        <item x="74"/>
        <item x="96"/>
        <item x="84"/>
        <item x="120"/>
        <item x="75"/>
        <item x="31"/>
        <item x="66"/>
        <item x="38"/>
        <item x="21"/>
        <item x="49"/>
        <item x="29"/>
        <item x="55"/>
        <item x="116"/>
        <item x="97"/>
        <item x="95"/>
        <item x="12"/>
        <item x="8"/>
        <item x="70"/>
        <item x="76"/>
        <item x="10"/>
        <item x="111"/>
        <item x="16"/>
        <item x="44"/>
        <item x="103"/>
        <item x="85"/>
        <item x="43"/>
        <item x="52"/>
        <item x="59"/>
        <item x="42"/>
        <item x="104"/>
        <item x="73"/>
        <item x="71"/>
        <item x="119"/>
        <item x="46"/>
        <item x="67"/>
        <item x="72"/>
        <item x="81"/>
        <item x="33"/>
        <item x="2"/>
        <item x="86"/>
        <item x="53"/>
        <item x="118"/>
        <item x="26"/>
        <item x="117"/>
        <item x="18"/>
        <item x="115"/>
        <item x="113"/>
        <item x="89"/>
        <item x="98"/>
        <item x="91"/>
        <item x="90"/>
        <item x="41"/>
        <item x="61"/>
        <item x="69"/>
        <item x="94"/>
        <item x="17"/>
        <item x="101"/>
        <item x="65"/>
        <item x="28"/>
        <item x="62"/>
        <item x="48"/>
        <item x="63"/>
        <item x="13"/>
        <item x="6"/>
        <item x="78"/>
        <item x="99"/>
        <item x="105"/>
        <item x="93"/>
        <item x="30"/>
        <item x="20"/>
        <item x="60"/>
        <item x="114"/>
        <item t="default"/>
      </items>
    </pivotField>
    <pivotField numFmtId="1" showAll="0">
      <items count="39">
        <item x="3"/>
        <item x="4"/>
        <item x="16"/>
        <item x="15"/>
        <item x="7"/>
        <item x="20"/>
        <item x="1"/>
        <item x="11"/>
        <item x="2"/>
        <item x="31"/>
        <item x="0"/>
        <item x="12"/>
        <item x="30"/>
        <item x="9"/>
        <item x="27"/>
        <item x="18"/>
        <item x="34"/>
        <item x="17"/>
        <item x="28"/>
        <item x="21"/>
        <item x="32"/>
        <item x="6"/>
        <item x="19"/>
        <item x="22"/>
        <item x="24"/>
        <item x="8"/>
        <item x="13"/>
        <item x="35"/>
        <item x="26"/>
        <item x="5"/>
        <item x="25"/>
        <item x="36"/>
        <item x="29"/>
        <item x="14"/>
        <item x="33"/>
        <item x="10"/>
        <item x="23"/>
        <item x="37"/>
        <item t="default"/>
      </items>
    </pivotField>
    <pivotField numFmtId="1" showAll="0">
      <items count="104">
        <item x="3"/>
        <item x="14"/>
        <item x="21"/>
        <item x="98"/>
        <item x="24"/>
        <item x="4"/>
        <item x="20"/>
        <item x="26"/>
        <item x="93"/>
        <item x="17"/>
        <item x="13"/>
        <item x="88"/>
        <item x="58"/>
        <item x="0"/>
        <item x="62"/>
        <item x="22"/>
        <item x="59"/>
        <item x="67"/>
        <item x="90"/>
        <item x="101"/>
        <item x="8"/>
        <item x="81"/>
        <item x="37"/>
        <item x="89"/>
        <item x="85"/>
        <item x="80"/>
        <item x="92"/>
        <item x="1"/>
        <item x="12"/>
        <item x="83"/>
        <item x="32"/>
        <item x="28"/>
        <item x="33"/>
        <item x="30"/>
        <item x="54"/>
        <item x="87"/>
        <item x="23"/>
        <item x="44"/>
        <item x="50"/>
        <item x="73"/>
        <item x="66"/>
        <item x="45"/>
        <item x="36"/>
        <item x="7"/>
        <item x="51"/>
        <item x="78"/>
        <item x="76"/>
        <item x="38"/>
        <item x="84"/>
        <item x="60"/>
        <item x="31"/>
        <item x="6"/>
        <item x="29"/>
        <item x="91"/>
        <item x="100"/>
        <item x="40"/>
        <item x="63"/>
        <item x="19"/>
        <item x="65"/>
        <item x="41"/>
        <item x="39"/>
        <item x="55"/>
        <item x="77"/>
        <item x="42"/>
        <item x="15"/>
        <item x="96"/>
        <item x="97"/>
        <item x="75"/>
        <item x="52"/>
        <item x="16"/>
        <item x="10"/>
        <item x="102"/>
        <item x="9"/>
        <item x="99"/>
        <item x="68"/>
        <item x="61"/>
        <item x="56"/>
        <item x="2"/>
        <item x="57"/>
        <item x="69"/>
        <item x="43"/>
        <item x="72"/>
        <item x="94"/>
        <item x="35"/>
        <item x="47"/>
        <item x="34"/>
        <item x="70"/>
        <item x="11"/>
        <item x="53"/>
        <item x="25"/>
        <item x="49"/>
        <item x="48"/>
        <item x="5"/>
        <item x="82"/>
        <item x="79"/>
        <item x="71"/>
        <item x="74"/>
        <item x="64"/>
        <item x="86"/>
        <item x="27"/>
        <item x="95"/>
        <item x="46"/>
        <item x="18"/>
        <item t="default"/>
      </items>
    </pivotField>
    <pivotField numFmtId="2" showAll="0">
      <items count="146">
        <item x="19"/>
        <item x="119"/>
        <item x="110"/>
        <item x="136"/>
        <item x="28"/>
        <item x="22"/>
        <item x="12"/>
        <item x="124"/>
        <item x="98"/>
        <item x="88"/>
        <item x="59"/>
        <item x="105"/>
        <item x="68"/>
        <item x="140"/>
        <item x="138"/>
        <item x="40"/>
        <item x="62"/>
        <item x="97"/>
        <item x="55"/>
        <item x="78"/>
        <item x="39"/>
        <item x="73"/>
        <item x="15"/>
        <item x="130"/>
        <item x="141"/>
        <item x="77"/>
        <item x="29"/>
        <item x="115"/>
        <item x="8"/>
        <item x="46"/>
        <item x="85"/>
        <item x="75"/>
        <item x="32"/>
        <item x="13"/>
        <item x="63"/>
        <item x="10"/>
        <item x="57"/>
        <item x="52"/>
        <item x="96"/>
        <item x="129"/>
        <item x="95"/>
        <item x="53"/>
        <item x="79"/>
        <item x="114"/>
        <item x="112"/>
        <item x="50"/>
        <item x="37"/>
        <item x="27"/>
        <item x="132"/>
        <item x="86"/>
        <item x="43"/>
        <item x="6"/>
        <item x="7"/>
        <item x="18"/>
        <item x="116"/>
        <item x="122"/>
        <item x="133"/>
        <item x="102"/>
        <item x="121"/>
        <item x="24"/>
        <item x="65"/>
        <item x="117"/>
        <item x="69"/>
        <item x="30"/>
        <item x="38"/>
        <item x="107"/>
        <item x="83"/>
        <item x="44"/>
        <item x="137"/>
        <item x="56"/>
        <item x="135"/>
        <item x="80"/>
        <item x="90"/>
        <item x="82"/>
        <item x="34"/>
        <item x="87"/>
        <item x="49"/>
        <item x="104"/>
        <item x="21"/>
        <item x="41"/>
        <item x="11"/>
        <item x="91"/>
        <item x="66"/>
        <item x="1"/>
        <item x="144"/>
        <item x="100"/>
        <item x="76"/>
        <item x="93"/>
        <item x="25"/>
        <item x="51"/>
        <item x="36"/>
        <item x="109"/>
        <item x="42"/>
        <item x="94"/>
        <item x="9"/>
        <item x="5"/>
        <item x="0"/>
        <item x="23"/>
        <item x="118"/>
        <item x="20"/>
        <item x="108"/>
        <item x="61"/>
        <item x="81"/>
        <item x="71"/>
        <item x="131"/>
        <item x="2"/>
        <item x="17"/>
        <item x="4"/>
        <item x="58"/>
        <item x="45"/>
        <item x="103"/>
        <item x="106"/>
        <item x="60"/>
        <item x="111"/>
        <item x="26"/>
        <item x="89"/>
        <item x="48"/>
        <item x="64"/>
        <item x="35"/>
        <item x="134"/>
        <item x="70"/>
        <item x="120"/>
        <item x="3"/>
        <item x="127"/>
        <item x="128"/>
        <item x="113"/>
        <item x="101"/>
        <item x="84"/>
        <item x="125"/>
        <item x="14"/>
        <item x="72"/>
        <item x="47"/>
        <item x="126"/>
        <item x="31"/>
        <item x="33"/>
        <item x="142"/>
        <item x="123"/>
        <item x="92"/>
        <item x="99"/>
        <item x="67"/>
        <item x="54"/>
        <item x="74"/>
        <item x="16"/>
        <item x="139"/>
        <item x="143"/>
        <item t="default"/>
      </items>
    </pivotField>
    <pivotField numFmtId="2" showAll="0">
      <items count="178">
        <item x="32"/>
        <item x="115"/>
        <item x="167"/>
        <item x="113"/>
        <item x="22"/>
        <item x="74"/>
        <item x="125"/>
        <item x="176"/>
        <item x="63"/>
        <item x="96"/>
        <item x="11"/>
        <item x="41"/>
        <item x="94"/>
        <item x="4"/>
        <item x="39"/>
        <item x="16"/>
        <item x="54"/>
        <item x="111"/>
        <item x="20"/>
        <item x="163"/>
        <item x="128"/>
        <item x="67"/>
        <item x="33"/>
        <item x="142"/>
        <item x="172"/>
        <item x="157"/>
        <item x="61"/>
        <item x="52"/>
        <item x="71"/>
        <item x="82"/>
        <item x="51"/>
        <item x="6"/>
        <item x="87"/>
        <item x="58"/>
        <item x="93"/>
        <item x="119"/>
        <item x="57"/>
        <item x="101"/>
        <item x="72"/>
        <item x="21"/>
        <item x="50"/>
        <item x="147"/>
        <item x="174"/>
        <item x="150"/>
        <item x="37"/>
        <item x="53"/>
        <item x="134"/>
        <item x="152"/>
        <item x="25"/>
        <item x="17"/>
        <item x="88"/>
        <item x="120"/>
        <item x="169"/>
        <item x="151"/>
        <item x="95"/>
        <item x="165"/>
        <item x="13"/>
        <item x="132"/>
        <item x="1"/>
        <item x="124"/>
        <item x="78"/>
        <item x="18"/>
        <item x="73"/>
        <item x="148"/>
        <item x="8"/>
        <item x="175"/>
        <item x="170"/>
        <item x="153"/>
        <item x="90"/>
        <item x="126"/>
        <item x="77"/>
        <item x="86"/>
        <item x="40"/>
        <item x="100"/>
        <item x="30"/>
        <item x="62"/>
        <item x="42"/>
        <item x="141"/>
        <item x="29"/>
        <item x="59"/>
        <item x="2"/>
        <item x="80"/>
        <item x="159"/>
        <item x="0"/>
        <item x="109"/>
        <item x="127"/>
        <item x="130"/>
        <item x="84"/>
        <item x="7"/>
        <item x="69"/>
        <item x="55"/>
        <item x="117"/>
        <item x="114"/>
        <item x="46"/>
        <item x="133"/>
        <item x="143"/>
        <item x="122"/>
        <item x="145"/>
        <item x="75"/>
        <item x="106"/>
        <item x="137"/>
        <item x="5"/>
        <item x="103"/>
        <item x="23"/>
        <item x="129"/>
        <item x="104"/>
        <item x="99"/>
        <item x="10"/>
        <item x="108"/>
        <item x="168"/>
        <item x="112"/>
        <item x="161"/>
        <item x="28"/>
        <item x="173"/>
        <item x="98"/>
        <item x="45"/>
        <item x="43"/>
        <item x="64"/>
        <item x="140"/>
        <item x="146"/>
        <item x="156"/>
        <item x="27"/>
        <item x="83"/>
        <item x="26"/>
        <item x="171"/>
        <item x="139"/>
        <item x="31"/>
        <item x="14"/>
        <item x="89"/>
        <item x="92"/>
        <item x="160"/>
        <item x="19"/>
        <item x="79"/>
        <item x="164"/>
        <item x="34"/>
        <item x="123"/>
        <item x="135"/>
        <item x="85"/>
        <item x="3"/>
        <item x="66"/>
        <item x="70"/>
        <item x="166"/>
        <item x="9"/>
        <item x="154"/>
        <item x="110"/>
        <item x="144"/>
        <item x="15"/>
        <item x="81"/>
        <item x="118"/>
        <item x="36"/>
        <item x="12"/>
        <item x="149"/>
        <item x="47"/>
        <item x="136"/>
        <item x="65"/>
        <item x="35"/>
        <item x="38"/>
        <item x="162"/>
        <item x="44"/>
        <item x="68"/>
        <item x="60"/>
        <item x="138"/>
        <item x="97"/>
        <item x="158"/>
        <item x="56"/>
        <item x="105"/>
        <item x="91"/>
        <item x="155"/>
        <item x="121"/>
        <item x="107"/>
        <item x="102"/>
        <item x="131"/>
        <item x="116"/>
        <item x="24"/>
        <item x="76"/>
        <item x="48"/>
        <item x="49"/>
        <item t="default"/>
      </items>
    </pivotField>
    <pivotField showAll="0">
      <items count="156">
        <item x="19"/>
        <item x="127"/>
        <item x="119"/>
        <item x="143"/>
        <item x="28"/>
        <item x="105"/>
        <item x="12"/>
        <item x="122"/>
        <item x="133"/>
        <item x="69"/>
        <item x="60"/>
        <item x="96"/>
        <item x="145"/>
        <item x="112"/>
        <item x="63"/>
        <item x="83"/>
        <item x="15"/>
        <item x="41"/>
        <item x="137"/>
        <item x="148"/>
        <item x="56"/>
        <item x="79"/>
        <item x="80"/>
        <item x="47"/>
        <item x="90"/>
        <item x="124"/>
        <item x="97"/>
        <item x="77"/>
        <item x="29"/>
        <item x="95"/>
        <item x="93"/>
        <item x="149"/>
        <item x="115"/>
        <item x="136"/>
        <item x="128"/>
        <item x="58"/>
        <item x="75"/>
        <item x="8"/>
        <item x="10"/>
        <item x="139"/>
        <item x="103"/>
        <item x="27"/>
        <item x="150"/>
        <item x="37"/>
        <item x="24"/>
        <item x="121"/>
        <item x="44"/>
        <item x="131"/>
        <item x="92"/>
        <item x="13"/>
        <item x="113"/>
        <item x="130"/>
        <item x="134"/>
        <item x="7"/>
        <item x="30"/>
        <item x="34"/>
        <item x="111"/>
        <item x="85"/>
        <item x="86"/>
        <item x="125"/>
        <item x="40"/>
        <item x="22"/>
        <item x="64"/>
        <item x="45"/>
        <item x="52"/>
        <item x="98"/>
        <item x="18"/>
        <item x="70"/>
        <item x="42"/>
        <item x="53"/>
        <item x="48"/>
        <item x="66"/>
        <item x="81"/>
        <item x="39"/>
        <item x="147"/>
        <item x="43"/>
        <item x="114"/>
        <item x="32"/>
        <item x="101"/>
        <item x="9"/>
        <item x="6"/>
        <item x="141"/>
        <item x="107"/>
        <item x="144"/>
        <item x="78"/>
        <item x="82"/>
        <item x="5"/>
        <item x="100"/>
        <item x="109"/>
        <item x="23"/>
        <item x="54"/>
        <item x="59"/>
        <item x="46"/>
        <item x="91"/>
        <item x="153"/>
        <item x="126"/>
        <item x="0"/>
        <item x="118"/>
        <item x="1"/>
        <item x="62"/>
        <item x="102"/>
        <item x="26"/>
        <item x="73"/>
        <item x="35"/>
        <item x="21"/>
        <item x="94"/>
        <item x="129"/>
        <item x="51"/>
        <item x="84"/>
        <item x="2"/>
        <item x="25"/>
        <item x="72"/>
        <item x="140"/>
        <item x="123"/>
        <item x="135"/>
        <item x="3"/>
        <item x="38"/>
        <item x="154"/>
        <item x="36"/>
        <item x="108"/>
        <item x="116"/>
        <item x="117"/>
        <item x="14"/>
        <item x="74"/>
        <item x="17"/>
        <item x="104"/>
        <item x="71"/>
        <item x="110"/>
        <item x="120"/>
        <item x="33"/>
        <item x="87"/>
        <item x="65"/>
        <item x="89"/>
        <item x="88"/>
        <item x="142"/>
        <item x="138"/>
        <item x="11"/>
        <item x="57"/>
        <item x="20"/>
        <item x="151"/>
        <item x="50"/>
        <item x="99"/>
        <item x="61"/>
        <item x="49"/>
        <item x="4"/>
        <item x="76"/>
        <item x="68"/>
        <item x="132"/>
        <item x="67"/>
        <item x="55"/>
        <item x="16"/>
        <item x="152"/>
        <item x="146"/>
        <item x="106"/>
        <item x="31"/>
        <item t="default"/>
      </items>
    </pivotField>
    <pivotField numFmtId="1" showAll="0">
      <items count="184">
        <item x="179"/>
        <item x="75"/>
        <item x="68"/>
        <item x="139"/>
        <item x="49"/>
        <item x="94"/>
        <item x="69"/>
        <item x="164"/>
        <item x="59"/>
        <item x="17"/>
        <item x="140"/>
        <item x="5"/>
        <item x="100"/>
        <item x="19"/>
        <item x="14"/>
        <item x="146"/>
        <item x="113"/>
        <item x="63"/>
        <item x="166"/>
        <item x="24"/>
        <item x="30"/>
        <item x="11"/>
        <item x="55"/>
        <item x="114"/>
        <item x="28"/>
        <item x="38"/>
        <item x="73"/>
        <item x="27"/>
        <item x="110"/>
        <item x="97"/>
        <item x="177"/>
        <item x="160"/>
        <item x="162"/>
        <item x="22"/>
        <item x="108"/>
        <item x="141"/>
        <item x="142"/>
        <item x="4"/>
        <item x="165"/>
        <item x="86"/>
        <item x="3"/>
        <item x="34"/>
        <item x="45"/>
        <item x="64"/>
        <item x="174"/>
        <item x="26"/>
        <item x="170"/>
        <item x="157"/>
        <item x="123"/>
        <item x="98"/>
        <item x="95"/>
        <item x="88"/>
        <item x="118"/>
        <item x="167"/>
        <item x="117"/>
        <item x="121"/>
        <item x="18"/>
        <item x="180"/>
        <item x="138"/>
        <item x="147"/>
        <item x="182"/>
        <item x="57"/>
        <item x="78"/>
        <item x="101"/>
        <item x="72"/>
        <item x="149"/>
        <item x="99"/>
        <item x="56"/>
        <item x="29"/>
        <item x="115"/>
        <item x="153"/>
        <item x="44"/>
        <item x="107"/>
        <item x="155"/>
        <item x="39"/>
        <item x="96"/>
        <item x="104"/>
        <item x="106"/>
        <item x="54"/>
        <item x="150"/>
        <item x="122"/>
        <item x="163"/>
        <item x="181"/>
        <item x="130"/>
        <item x="67"/>
        <item x="1"/>
        <item x="77"/>
        <item x="43"/>
        <item x="33"/>
        <item x="48"/>
        <item x="102"/>
        <item x="91"/>
        <item x="109"/>
        <item x="62"/>
        <item x="71"/>
        <item x="161"/>
        <item x="74"/>
        <item x="103"/>
        <item x="60"/>
        <item x="40"/>
        <item x="21"/>
        <item x="105"/>
        <item x="178"/>
        <item x="25"/>
        <item x="144"/>
        <item x="126"/>
        <item x="125"/>
        <item x="58"/>
        <item x="156"/>
        <item x="41"/>
        <item x="53"/>
        <item x="176"/>
        <item x="8"/>
        <item x="47"/>
        <item x="90"/>
        <item x="152"/>
        <item x="46"/>
        <item x="42"/>
        <item x="31"/>
        <item x="175"/>
        <item x="116"/>
        <item x="119"/>
        <item x="9"/>
        <item x="112"/>
        <item x="145"/>
        <item x="2"/>
        <item x="87"/>
        <item x="83"/>
        <item x="93"/>
        <item x="10"/>
        <item x="66"/>
        <item x="159"/>
        <item x="76"/>
        <item x="7"/>
        <item x="0"/>
        <item x="12"/>
        <item x="124"/>
        <item x="136"/>
        <item x="70"/>
        <item x="133"/>
        <item x="148"/>
        <item x="134"/>
        <item x="84"/>
        <item x="120"/>
        <item x="50"/>
        <item x="129"/>
        <item x="172"/>
        <item x="92"/>
        <item x="171"/>
        <item x="20"/>
        <item x="16"/>
        <item x="15"/>
        <item x="127"/>
        <item x="132"/>
        <item x="89"/>
        <item x="51"/>
        <item x="158"/>
        <item x="36"/>
        <item x="80"/>
        <item x="52"/>
        <item x="82"/>
        <item x="135"/>
        <item x="32"/>
        <item x="6"/>
        <item x="65"/>
        <item x="37"/>
        <item x="13"/>
        <item x="61"/>
        <item x="168"/>
        <item x="85"/>
        <item x="143"/>
        <item x="154"/>
        <item x="128"/>
        <item x="81"/>
        <item x="173"/>
        <item x="35"/>
        <item x="111"/>
        <item x="131"/>
        <item x="151"/>
        <item x="137"/>
        <item x="79"/>
        <item x="23"/>
        <item x="169"/>
        <item t="default"/>
      </items>
    </pivotField>
    <pivotField numFmtId="1" showAll="0">
      <items count="163">
        <item x="82"/>
        <item x="24"/>
        <item x="64"/>
        <item x="105"/>
        <item x="14"/>
        <item x="67"/>
        <item x="132"/>
        <item x="104"/>
        <item x="17"/>
        <item x="19"/>
        <item x="5"/>
        <item x="146"/>
        <item x="53"/>
        <item x="52"/>
        <item x="72"/>
        <item x="37"/>
        <item x="44"/>
        <item x="3"/>
        <item x="100"/>
        <item x="88"/>
        <item x="33"/>
        <item x="26"/>
        <item x="99"/>
        <item x="47"/>
        <item x="118"/>
        <item x="80"/>
        <item x="148"/>
        <item x="32"/>
        <item x="68"/>
        <item x="29"/>
        <item x="27"/>
        <item x="56"/>
        <item x="153"/>
        <item x="91"/>
        <item x="135"/>
        <item x="93"/>
        <item x="150"/>
        <item x="140"/>
        <item x="43"/>
        <item x="149"/>
        <item x="138"/>
        <item x="60"/>
        <item x="97"/>
        <item x="71"/>
        <item x="128"/>
        <item x="77"/>
        <item x="134"/>
        <item x="156"/>
        <item x="90"/>
        <item x="145"/>
        <item x="18"/>
        <item x="108"/>
        <item x="4"/>
        <item x="11"/>
        <item x="59"/>
        <item x="63"/>
        <item x="22"/>
        <item x="127"/>
        <item x="28"/>
        <item x="101"/>
        <item x="69"/>
        <item x="112"/>
        <item x="46"/>
        <item x="147"/>
        <item x="38"/>
        <item x="98"/>
        <item x="137"/>
        <item x="39"/>
        <item x="142"/>
        <item x="141"/>
        <item x="66"/>
        <item x="54"/>
        <item x="109"/>
        <item x="42"/>
        <item x="96"/>
        <item x="94"/>
        <item x="106"/>
        <item x="1"/>
        <item x="0"/>
        <item x="58"/>
        <item x="119"/>
        <item x="9"/>
        <item x="130"/>
        <item x="144"/>
        <item x="92"/>
        <item x="110"/>
        <item x="30"/>
        <item x="114"/>
        <item x="89"/>
        <item x="161"/>
        <item x="15"/>
        <item x="35"/>
        <item x="160"/>
        <item x="111"/>
        <item x="41"/>
        <item x="143"/>
        <item x="45"/>
        <item x="123"/>
        <item x="85"/>
        <item x="79"/>
        <item x="25"/>
        <item x="159"/>
        <item x="154"/>
        <item x="21"/>
        <item x="103"/>
        <item x="16"/>
        <item x="7"/>
        <item x="95"/>
        <item x="12"/>
        <item x="10"/>
        <item x="124"/>
        <item x="133"/>
        <item x="51"/>
        <item x="8"/>
        <item x="131"/>
        <item x="122"/>
        <item x="107"/>
        <item x="31"/>
        <item x="158"/>
        <item x="61"/>
        <item x="113"/>
        <item x="157"/>
        <item x="50"/>
        <item x="84"/>
        <item x="2"/>
        <item x="40"/>
        <item x="55"/>
        <item x="86"/>
        <item x="155"/>
        <item x="70"/>
        <item x="62"/>
        <item x="81"/>
        <item x="87"/>
        <item x="65"/>
        <item x="57"/>
        <item x="151"/>
        <item x="49"/>
        <item x="117"/>
        <item x="139"/>
        <item x="125"/>
        <item x="116"/>
        <item x="115"/>
        <item x="20"/>
        <item x="48"/>
        <item x="83"/>
        <item x="78"/>
        <item x="74"/>
        <item x="121"/>
        <item x="34"/>
        <item x="129"/>
        <item x="75"/>
        <item x="76"/>
        <item x="13"/>
        <item x="120"/>
        <item x="6"/>
        <item x="126"/>
        <item x="102"/>
        <item x="36"/>
        <item x="136"/>
        <item x="23"/>
        <item x="73"/>
        <item x="152"/>
        <item t="default"/>
      </items>
    </pivotField>
    <pivotField numFmtId="2" showAll="0">
      <items count="170">
        <item x="82"/>
        <item x="23"/>
        <item x="114"/>
        <item x="67"/>
        <item x="103"/>
        <item x="77"/>
        <item x="53"/>
        <item x="79"/>
        <item x="107"/>
        <item x="47"/>
        <item x="56"/>
        <item x="72"/>
        <item x="119"/>
        <item x="32"/>
        <item x="98"/>
        <item x="35"/>
        <item x="154"/>
        <item x="100"/>
        <item x="14"/>
        <item x="161"/>
        <item x="151"/>
        <item x="61"/>
        <item x="0"/>
        <item x="143"/>
        <item x="44"/>
        <item x="89"/>
        <item x="46"/>
        <item x="128"/>
        <item x="116"/>
        <item x="113"/>
        <item x="71"/>
        <item x="3"/>
        <item x="26"/>
        <item x="148"/>
        <item x="145"/>
        <item x="147"/>
        <item x="157"/>
        <item x="57"/>
        <item x="121"/>
        <item x="31"/>
        <item x="25"/>
        <item x="160"/>
        <item x="43"/>
        <item x="101"/>
        <item x="15"/>
        <item x="94"/>
        <item x="33"/>
        <item x="13"/>
        <item x="149"/>
        <item x="133"/>
        <item x="69"/>
        <item x="9"/>
        <item x="139"/>
        <item x="146"/>
        <item x="132"/>
        <item x="166"/>
        <item x="34"/>
        <item x="153"/>
        <item x="50"/>
        <item x="39"/>
        <item x="102"/>
        <item x="112"/>
        <item x="130"/>
        <item x="88"/>
        <item x="63"/>
        <item x="92"/>
        <item x="80"/>
        <item x="159"/>
        <item x="138"/>
        <item x="52"/>
        <item x="140"/>
        <item x="30"/>
        <item x="37"/>
        <item x="135"/>
        <item x="75"/>
        <item x="106"/>
        <item x="142"/>
        <item x="7"/>
        <item x="66"/>
        <item x="127"/>
        <item x="64"/>
        <item x="86"/>
        <item x="156"/>
        <item x="49"/>
        <item x="125"/>
        <item x="12"/>
        <item x="136"/>
        <item x="10"/>
        <item x="115"/>
        <item x="41"/>
        <item x="60"/>
        <item x="105"/>
        <item x="18"/>
        <item x="45"/>
        <item x="141"/>
        <item x="118"/>
        <item x="17"/>
        <item x="117"/>
        <item x="155"/>
        <item x="42"/>
        <item x="58"/>
        <item x="158"/>
        <item x="95"/>
        <item x="38"/>
        <item x="99"/>
        <item x="28"/>
        <item x="120"/>
        <item x="110"/>
        <item x="122"/>
        <item x="162"/>
        <item x="5"/>
        <item x="104"/>
        <item x="137"/>
        <item x="74"/>
        <item x="70"/>
        <item x="83"/>
        <item x="22"/>
        <item x="131"/>
        <item x="68"/>
        <item x="134"/>
        <item x="65"/>
        <item x="19"/>
        <item x="1"/>
        <item x="27"/>
        <item x="2"/>
        <item x="62"/>
        <item x="76"/>
        <item x="48"/>
        <item x="109"/>
        <item x="24"/>
        <item x="126"/>
        <item x="165"/>
        <item x="16"/>
        <item x="129"/>
        <item x="144"/>
        <item x="81"/>
        <item x="124"/>
        <item x="97"/>
        <item x="87"/>
        <item x="78"/>
        <item x="8"/>
        <item x="51"/>
        <item x="163"/>
        <item x="20"/>
        <item x="36"/>
        <item x="85"/>
        <item x="54"/>
        <item x="4"/>
        <item x="6"/>
        <item x="73"/>
        <item x="152"/>
        <item x="164"/>
        <item x="84"/>
        <item x="29"/>
        <item x="108"/>
        <item x="90"/>
        <item x="96"/>
        <item x="167"/>
        <item x="111"/>
        <item x="40"/>
        <item x="150"/>
        <item x="91"/>
        <item x="21"/>
        <item x="55"/>
        <item x="93"/>
        <item x="168"/>
        <item x="11"/>
        <item x="59"/>
        <item x="123"/>
        <item t="default"/>
      </items>
    </pivotField>
    <pivotField axis="axisRow" showAll="0">
      <items count="7">
        <item x="2"/>
        <item x="3"/>
        <item x="0"/>
        <item x="1"/>
        <item x="5"/>
        <item x="4"/>
        <item t="default"/>
      </items>
    </pivotField>
  </pivotFields>
  <rowFields count="1">
    <field x="14"/>
  </rowFields>
  <rowItems count="7">
    <i>
      <x/>
    </i>
    <i>
      <x v="1"/>
    </i>
    <i>
      <x v="2"/>
    </i>
    <i>
      <x v="3"/>
    </i>
    <i>
      <x v="4"/>
    </i>
    <i>
      <x v="5"/>
    </i>
    <i t="grand">
      <x/>
    </i>
  </rowItems>
  <colItems count="1">
    <i/>
  </colItems>
  <dataFields count="1">
    <dataField name="Sum of Confirmed" fld="1"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0B1FA0C-6DB3-4F5F-82EC-225A83BD4F0E}" name="PivotTable1"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5">
    <pivotField showAll="0">
      <items count="1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4"/>
        <item x="175"/>
        <item x="176"/>
        <item x="177"/>
        <item x="178"/>
        <item x="173"/>
        <item x="179"/>
        <item x="180"/>
        <item x="181"/>
        <item x="182"/>
        <item x="183"/>
        <item x="184"/>
        <item x="185"/>
        <item x="186"/>
        <item t="default"/>
      </items>
    </pivotField>
    <pivotField numFmtId="1" showAll="0"/>
    <pivotField dataField="1" numFmtId="1" showAll="0"/>
    <pivotField dataField="1" numFmtId="1" showAll="0"/>
    <pivotField dataField="1" numFmtId="1" showAll="0"/>
    <pivotField numFmtId="1" showAll="0"/>
    <pivotField numFmtId="1" showAll="0"/>
    <pivotField numFmtId="1" showAll="0"/>
    <pivotField numFmtId="2" showAll="0"/>
    <pivotField numFmtId="2" showAll="0"/>
    <pivotField showAll="0"/>
    <pivotField numFmtId="1" showAll="0"/>
    <pivotField dataField="1" numFmtId="1" showAll="0"/>
    <pivotField numFmtId="2" showAll="0"/>
    <pivotField showAll="0">
      <items count="7">
        <item x="2"/>
        <item x="3"/>
        <item x="0"/>
        <item x="1"/>
        <item x="5"/>
        <item x="4"/>
        <item t="default"/>
      </items>
    </pivotField>
  </pivotFields>
  <rowItems count="1">
    <i/>
  </rowItems>
  <colFields count="1">
    <field x="-2"/>
  </colFields>
  <colItems count="4">
    <i>
      <x/>
    </i>
    <i i="1">
      <x v="1"/>
    </i>
    <i i="2">
      <x v="2"/>
    </i>
    <i i="3">
      <x v="3"/>
    </i>
  </colItems>
  <dataFields count="4">
    <dataField name="Sum of Deaths" fld="2" baseField="0" baseItem="0"/>
    <dataField name="Sum of Recovered" fld="3" baseField="0" baseItem="0"/>
    <dataField name="Sum of Active" fld="4" baseField="0" baseItem="0"/>
    <dataField name="Sum of 1 week change" fld="12" baseField="0" baseItem="0"/>
  </dataFields>
  <formats count="3">
    <format dxfId="61">
      <pivotArea type="all" dataOnly="0" outline="0" fieldPosition="0"/>
    </format>
    <format dxfId="60">
      <pivotArea outline="0" collapsedLevelsAreSubtotals="1" fieldPosition="0"/>
    </format>
    <format dxfId="59">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HO_Region" xr10:uid="{A8EA08EC-26CF-4183-BD57-67F12CA279BC}" sourceName="WHO Region">
  <pivotTables>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 tabId="3" name="PivotTable10"/>
    <pivotTable tabId="3" name="PivotTable11"/>
    <pivotTable tabId="3" name="PivotTable1"/>
  </pivotTables>
  <data>
    <tabular pivotCacheId="248117494">
      <items count="6">
        <i x="2" s="1"/>
        <i x="3" s="1"/>
        <i x="0" s="1"/>
        <i x="1" s="1"/>
        <i x="5"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HO Region" xr10:uid="{BF38DC7B-33E8-444D-BD81-E02555BB5F86}" cache="Slicer_WHO_Region" caption="WHO Region"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HO Region 1" xr10:uid="{08069820-754C-4590-86D9-8E0789B9845E}" cache="Slicer_WHO_Region" caption="WHO Region" style="SlicerStyleOther1 2" rowHeight="27432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2275E6E-09EF-43DF-9628-A6D616111374}" name="Table1" displayName="Table1" ref="A1:O188" totalsRowShown="0">
  <autoFilter ref="A1:O188" xr:uid="{92275E6E-09EF-43DF-9628-A6D616111374}"/>
  <tableColumns count="15">
    <tableColumn id="1" xr3:uid="{5901F21F-4597-40D4-A781-753DBF9E9FD0}" name="Country/Region" dataDxfId="76"/>
    <tableColumn id="2" xr3:uid="{396840C7-FAAD-4EDA-8726-82518CAEBE9B}" name="Confirmed" dataDxfId="75"/>
    <tableColumn id="3" xr3:uid="{3773EDD1-3861-4EDE-86EE-D34D83B28AA0}" name="Deaths" dataDxfId="74"/>
    <tableColumn id="4" xr3:uid="{BDBFA14D-683F-4029-80DE-1C969E841D41}" name="Recovered" dataDxfId="73"/>
    <tableColumn id="5" xr3:uid="{5D31C0F7-145B-495A-B3C8-64F1AA886108}" name="Active" dataDxfId="72"/>
    <tableColumn id="6" xr3:uid="{3D0AB2E3-9E29-48C2-9E14-8693AF1583A2}" name="New cases" dataDxfId="71"/>
    <tableColumn id="7" xr3:uid="{19F3AF03-32C4-498E-9835-C6E8B14A11AD}" name="New deaths" dataDxfId="70"/>
    <tableColumn id="8" xr3:uid="{D054192F-6C92-4D7F-A973-928E5B720BCB}" name="New recovered" dataDxfId="69"/>
    <tableColumn id="9" xr3:uid="{EBC84BCB-C5D5-4652-8EBB-BD998B641936}" name="Deaths / 100 Cases" dataDxfId="68"/>
    <tableColumn id="10" xr3:uid="{4F71788F-2EB4-4E33-AF0A-6EE6C0C0A0A7}" name="Recovered / 100 Cases" dataDxfId="67"/>
    <tableColumn id="11" xr3:uid="{5CBBE147-7AE2-4EDD-9E91-934F95F41AC7}" name="Deaths / 100 Recovered" dataDxfId="66"/>
    <tableColumn id="12" xr3:uid="{F509DBD2-8A39-47D6-8DF0-1102546580D6}" name="Confirmed last week" dataDxfId="65"/>
    <tableColumn id="13" xr3:uid="{D3E884F7-AC54-48CB-A22F-C5B57B4ECE76}" name="1 week change" dataDxfId="64"/>
    <tableColumn id="14" xr3:uid="{7B5F3535-B789-4766-8C3E-BEF28C19DE6C}" name="1 week % increase" dataDxfId="63"/>
    <tableColumn id="15" xr3:uid="{07F69FB3-61EE-45AC-B506-D07FC78C80C6}" name="WHO Region" dataDxfId="6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293302-19C0-4B28-8475-5CC2765A0B49}">
  <sheetPr>
    <tabColor rgb="FF00B050"/>
  </sheetPr>
  <dimension ref="A1:D123"/>
  <sheetViews>
    <sheetView topLeftCell="A107" zoomScale="101" workbookViewId="0">
      <selection activeCell="A116" sqref="A116:B123"/>
    </sheetView>
  </sheetViews>
  <sheetFormatPr defaultRowHeight="15" x14ac:dyDescent="0.25"/>
  <cols>
    <col min="1" max="1" width="14.28515625" bestFit="1" customWidth="1"/>
    <col min="2" max="2" width="17.7109375" bestFit="1" customWidth="1"/>
    <col min="3" max="3" width="13.42578125" bestFit="1" customWidth="1"/>
    <col min="4" max="4" width="21" bestFit="1" customWidth="1"/>
    <col min="5" max="5" width="13.42578125" bestFit="1" customWidth="1"/>
    <col min="6" max="6" width="17.5703125" bestFit="1" customWidth="1"/>
    <col min="7" max="7" width="18.5703125" bestFit="1" customWidth="1"/>
    <col min="8" max="9" width="21.7109375" bestFit="1" customWidth="1"/>
    <col min="10" max="10" width="24.42578125" bestFit="1" customWidth="1"/>
    <col min="11" max="11" width="26.85546875" bestFit="1" customWidth="1"/>
    <col min="12" max="12" width="10.28515625" bestFit="1" customWidth="1"/>
    <col min="13" max="13" width="9" bestFit="1" customWidth="1"/>
    <col min="14" max="14" width="7.7109375" bestFit="1" customWidth="1"/>
    <col min="15" max="15" width="11.28515625" bestFit="1" customWidth="1"/>
    <col min="16" max="16" width="9.28515625" bestFit="1" customWidth="1"/>
    <col min="17" max="17" width="7.7109375" bestFit="1" customWidth="1"/>
    <col min="18" max="18" width="8.28515625" bestFit="1" customWidth="1"/>
    <col min="19" max="19" width="6.42578125" bestFit="1" customWidth="1"/>
    <col min="20" max="20" width="6.140625" bestFit="1" customWidth="1"/>
    <col min="21" max="21" width="7.28515625" bestFit="1" customWidth="1"/>
    <col min="22" max="22" width="7" bestFit="1" customWidth="1"/>
    <col min="23" max="23" width="22.7109375" bestFit="1" customWidth="1"/>
    <col min="24" max="24" width="9.5703125" bestFit="1" customWidth="1"/>
    <col min="25" max="25" width="7" bestFit="1" customWidth="1"/>
    <col min="26" max="26" width="6.85546875" bestFit="1" customWidth="1"/>
    <col min="27" max="27" width="8.140625" bestFit="1" customWidth="1"/>
    <col min="28" max="28" width="12.28515625" bestFit="1" customWidth="1"/>
    <col min="29" max="29" width="6.7109375" bestFit="1" customWidth="1"/>
    <col min="30" max="30" width="8" bestFit="1" customWidth="1"/>
    <col min="31" max="31" width="11.42578125" bestFit="1" customWidth="1"/>
    <col min="32" max="32" width="10.140625" bestFit="1" customWidth="1"/>
    <col min="33" max="33" width="10.42578125" bestFit="1" customWidth="1"/>
    <col min="34" max="34" width="7.7109375" bestFit="1" customWidth="1"/>
    <col min="35" max="35" width="23.28515625" bestFit="1" customWidth="1"/>
    <col min="36" max="36" width="5.7109375" bestFit="1" customWidth="1"/>
    <col min="37" max="37" width="6" bestFit="1" customWidth="1"/>
    <col min="38" max="38" width="6.28515625" bestFit="1" customWidth="1"/>
    <col min="39" max="39" width="9.7109375" bestFit="1" customWidth="1"/>
    <col min="40" max="40" width="9.28515625" bestFit="1" customWidth="1"/>
    <col min="41" max="41" width="18.42578125" bestFit="1" customWidth="1"/>
    <col min="42" max="42" width="16.85546875" bestFit="1" customWidth="1"/>
    <col min="43" max="43" width="10.5703125" bestFit="1" customWidth="1"/>
    <col min="44" max="44" width="12.5703125" bestFit="1" customWidth="1"/>
    <col min="45" max="45" width="7.5703125" bestFit="1" customWidth="1"/>
    <col min="46" max="46" width="5.7109375" bestFit="1" customWidth="1"/>
    <col min="47" max="47" width="7.42578125" bestFit="1" customWidth="1"/>
    <col min="48" max="48" width="8.140625" bestFit="1" customWidth="1"/>
    <col min="50" max="50" width="8.28515625" bestFit="1" customWidth="1"/>
    <col min="51" max="51" width="9.5703125" bestFit="1" customWidth="1"/>
    <col min="52" max="52" width="19.42578125" bestFit="1" customWidth="1"/>
    <col min="53" max="53" width="8.28515625" bestFit="1" customWidth="1"/>
    <col min="54" max="54" width="6" bestFit="1" customWidth="1"/>
    <col min="55" max="55" width="10.85546875" bestFit="1" customWidth="1"/>
    <col min="56" max="56" width="17.28515625" bestFit="1" customWidth="1"/>
    <col min="57" max="57" width="7" bestFit="1" customWidth="1"/>
    <col min="58" max="58" width="7.7109375" bestFit="1" customWidth="1"/>
    <col min="59" max="59" width="8.5703125" bestFit="1" customWidth="1"/>
    <col min="60" max="60" width="8.42578125" bestFit="1" customWidth="1"/>
    <col min="61" max="61" width="3.7109375" bestFit="1" customWidth="1"/>
    <col min="62" max="62" width="7.5703125" bestFit="1" customWidth="1"/>
    <col min="63" max="63" width="7" bestFit="1" customWidth="1"/>
    <col min="64" max="64" width="6.85546875" bestFit="1" customWidth="1"/>
    <col min="65" max="65" width="7.85546875" bestFit="1" customWidth="1"/>
    <col min="66" max="66" width="8" bestFit="1" customWidth="1"/>
    <col min="68" max="68" width="6.7109375" bestFit="1" customWidth="1"/>
    <col min="69" max="69" width="7.5703125" bestFit="1" customWidth="1"/>
    <col min="70" max="70" width="10.42578125" bestFit="1" customWidth="1"/>
    <col min="71" max="71" width="8.5703125" bestFit="1" customWidth="1"/>
    <col min="72" max="72" width="10.7109375" bestFit="1" customWidth="1"/>
    <col min="73" max="73" width="7.42578125" bestFit="1" customWidth="1"/>
    <col min="74" max="74" width="14.140625" bestFit="1" customWidth="1"/>
    <col min="75" max="75" width="7.7109375" bestFit="1" customWidth="1"/>
    <col min="76" max="76" width="5.28515625" bestFit="1" customWidth="1"/>
    <col min="77" max="77" width="9" bestFit="1" customWidth="1"/>
    <col min="78" max="78" width="9.7109375" bestFit="1" customWidth="1"/>
    <col min="79" max="79" width="8.42578125" bestFit="1" customWidth="1"/>
    <col min="80" max="80" width="7.5703125" bestFit="1" customWidth="1"/>
    <col min="81" max="81" width="7" bestFit="1" customWidth="1"/>
    <col min="82" max="82" width="9.85546875" bestFit="1" customWidth="1"/>
    <col min="83" max="84" width="6" bestFit="1" customWidth="1"/>
    <col min="85" max="85" width="7.28515625" bestFit="1" customWidth="1"/>
    <col min="86" max="86" width="6" bestFit="1" customWidth="1"/>
    <col min="87" max="87" width="5" bestFit="1" customWidth="1"/>
    <col min="88" max="88" width="8" bestFit="1" customWidth="1"/>
    <col min="89" max="89" width="6" bestFit="1" customWidth="1"/>
    <col min="90" max="90" width="6.85546875" bestFit="1" customWidth="1"/>
    <col min="91" max="91" width="11" bestFit="1" customWidth="1"/>
    <col min="92" max="92" width="6.42578125" bestFit="1" customWidth="1"/>
    <col min="93" max="93" width="7.5703125" bestFit="1" customWidth="1"/>
    <col min="94" max="94" width="7" bestFit="1" customWidth="1"/>
    <col min="95" max="95" width="10.5703125" bestFit="1" customWidth="1"/>
    <col min="96" max="96" width="5.140625" bestFit="1" customWidth="1"/>
    <col min="97" max="97" width="6.28515625" bestFit="1" customWidth="1"/>
    <col min="98" max="98" width="8.7109375" bestFit="1" customWidth="1"/>
    <col min="99" max="99" width="8.28515625" bestFit="1" customWidth="1"/>
    <col min="100" max="100" width="7.140625" bestFit="1" customWidth="1"/>
    <col min="101" max="101" width="5.7109375" bestFit="1" customWidth="1"/>
    <col min="102" max="102" width="13.5703125" bestFit="1" customWidth="1"/>
    <col min="103" max="103" width="9.28515625" bestFit="1" customWidth="1"/>
    <col min="104" max="104" width="12.140625" bestFit="1" customWidth="1"/>
    <col min="105" max="105" width="11.42578125" bestFit="1" customWidth="1"/>
    <col min="106" max="106" width="7.140625" bestFit="1" customWidth="1"/>
    <col min="107" max="107" width="8.7109375" bestFit="1" customWidth="1"/>
    <col min="108" max="108" width="9" bestFit="1" customWidth="1"/>
    <col min="109" max="109" width="4.7109375" bestFit="1" customWidth="1"/>
    <col min="110" max="110" width="5.85546875" bestFit="1" customWidth="1"/>
    <col min="111" max="111" width="10.42578125" bestFit="1" customWidth="1"/>
    <col min="112" max="112" width="9.42578125" bestFit="1" customWidth="1"/>
    <col min="113" max="113" width="7.42578125" bestFit="1" customWidth="1"/>
    <col min="114" max="114" width="8.5703125" bestFit="1" customWidth="1"/>
    <col min="115" max="115" width="8" bestFit="1" customWidth="1"/>
    <col min="117" max="117" width="11.85546875" bestFit="1" customWidth="1"/>
    <col min="118" max="118" width="8.7109375" bestFit="1" customWidth="1"/>
    <col min="119" max="119" width="12.42578125" bestFit="1" customWidth="1"/>
    <col min="120" max="120" width="8.42578125" bestFit="1" customWidth="1"/>
    <col min="121" max="121" width="6.28515625" bestFit="1" customWidth="1"/>
    <col min="122" max="122" width="12.140625" bestFit="1" customWidth="1"/>
    <col min="123" max="123" width="12.42578125" bestFit="1" customWidth="1"/>
    <col min="124" max="124" width="9.85546875" bestFit="1" customWidth="1"/>
    <col min="125" max="125" width="5.85546875" bestFit="1" customWidth="1"/>
    <col min="126" max="126" width="7.42578125" bestFit="1" customWidth="1"/>
    <col min="127" max="127" width="16.42578125" bestFit="1" customWidth="1"/>
    <col min="128" max="128" width="7.7109375" bestFit="1" customWidth="1"/>
    <col min="129" max="129" width="6.28515625" bestFit="1" customWidth="1"/>
    <col min="130" max="130" width="8.5703125" bestFit="1" customWidth="1"/>
    <col min="131" max="131" width="8" bestFit="1" customWidth="1"/>
    <col min="132" max="132" width="18" bestFit="1" customWidth="1"/>
    <col min="133" max="133" width="9" bestFit="1" customWidth="1"/>
    <col min="134" max="134" width="6" bestFit="1" customWidth="1"/>
    <col min="135" max="135" width="11.140625" bestFit="1" customWidth="1"/>
    <col min="136" max="136" width="7.140625" bestFit="1" customWidth="1"/>
    <col min="137" max="137" width="8.42578125" bestFit="1" customWidth="1"/>
    <col min="138" max="138" width="5.85546875" bestFit="1" customWidth="1"/>
    <col min="139" max="139" width="8.85546875" bestFit="1" customWidth="1"/>
    <col min="140" max="140" width="7" bestFit="1" customWidth="1"/>
    <col min="141" max="141" width="8" bestFit="1" customWidth="1"/>
    <col min="142" max="142" width="19.7109375" bestFit="1" customWidth="1"/>
    <col min="143" max="143" width="10.7109375" bestFit="1" customWidth="1"/>
    <col min="144" max="144" width="31.5703125" bestFit="1" customWidth="1"/>
    <col min="145" max="145" width="10.85546875" bestFit="1" customWidth="1"/>
    <col min="146" max="146" width="21.7109375" bestFit="1" customWidth="1"/>
    <col min="147" max="147" width="12" bestFit="1" customWidth="1"/>
    <col min="148" max="148" width="8.140625" bestFit="1" customWidth="1"/>
    <col min="149" max="149" width="6.7109375" bestFit="1" customWidth="1"/>
    <col min="150" max="150" width="10.85546875" bestFit="1" customWidth="1"/>
    <col min="151" max="151" width="12.28515625" bestFit="1" customWidth="1"/>
    <col min="152" max="152" width="10" bestFit="1" customWidth="1"/>
    <col min="153" max="153" width="8.42578125" bestFit="1" customWidth="1"/>
    <col min="154" max="154" width="8.7109375" bestFit="1" customWidth="1"/>
    <col min="155" max="155" width="8.140625" bestFit="1" customWidth="1"/>
    <col min="156" max="157" width="11.85546875" bestFit="1" customWidth="1"/>
    <col min="158" max="158" width="12.28515625" bestFit="1" customWidth="1"/>
    <col min="159" max="159" width="6" bestFit="1" customWidth="1"/>
    <col min="160" max="160" width="9" bestFit="1" customWidth="1"/>
    <col min="161" max="161" width="6.5703125" bestFit="1" customWidth="1"/>
    <col min="162" max="162" width="9.5703125" bestFit="1" customWidth="1"/>
    <col min="163" max="163" width="8.140625" bestFit="1" customWidth="1"/>
    <col min="164" max="164" width="11.42578125" bestFit="1" customWidth="1"/>
    <col min="165" max="165" width="5.42578125" bestFit="1" customWidth="1"/>
    <col min="166" max="166" width="8.140625" bestFit="1" customWidth="1"/>
    <col min="167" max="167" width="9.5703125" bestFit="1" customWidth="1"/>
    <col min="168" max="168" width="8.7109375" bestFit="1" customWidth="1"/>
    <col min="169" max="169" width="8.5703125" bestFit="1" customWidth="1"/>
    <col min="170" max="170" width="11.85546875" bestFit="1" customWidth="1"/>
    <col min="171" max="171" width="5.28515625" bestFit="1" customWidth="1"/>
    <col min="172" max="172" width="19.140625" bestFit="1" customWidth="1"/>
    <col min="173" max="173" width="7.42578125" bestFit="1" customWidth="1"/>
    <col min="174" max="174" width="7" bestFit="1" customWidth="1"/>
    <col min="175" max="175" width="7.5703125" bestFit="1" customWidth="1"/>
    <col min="176" max="176" width="7.85546875" bestFit="1" customWidth="1"/>
    <col min="177" max="177" width="20.140625" bestFit="1" customWidth="1"/>
    <col min="178" max="178" width="15.42578125" bestFit="1" customWidth="1"/>
    <col min="179" max="179" width="8.28515625" bestFit="1" customWidth="1"/>
    <col min="180" max="180" width="7" bestFit="1" customWidth="1"/>
    <col min="181" max="181" width="10.85546875" bestFit="1" customWidth="1"/>
    <col min="182" max="182" width="10.28515625" bestFit="1" customWidth="1"/>
    <col min="183" max="183" width="8.42578125" bestFit="1" customWidth="1"/>
    <col min="184" max="184" width="19.140625" bestFit="1" customWidth="1"/>
    <col min="185" max="185" width="15.28515625" bestFit="1" customWidth="1"/>
    <col min="186" max="186" width="7.28515625" bestFit="1" customWidth="1"/>
    <col min="187" max="187" width="7.42578125" bestFit="1" customWidth="1"/>
    <col min="188" max="188" width="10.140625" bestFit="1" customWidth="1"/>
    <col min="189" max="189" width="11.28515625" bestFit="1" customWidth="1"/>
  </cols>
  <sheetData>
    <row r="1" spans="1:4" ht="15.75" thickBot="1" x14ac:dyDescent="0.3"/>
    <row r="2" spans="1:4" ht="15.75" thickBot="1" x14ac:dyDescent="0.3">
      <c r="A2" s="8"/>
      <c r="B2" s="9"/>
      <c r="C2" s="9"/>
      <c r="D2" s="10"/>
    </row>
    <row r="3" spans="1:4" ht="15.75" thickBot="1" x14ac:dyDescent="0.3">
      <c r="A3" s="25" t="s">
        <v>212</v>
      </c>
      <c r="B3" s="26" t="s">
        <v>213</v>
      </c>
      <c r="C3" s="26" t="s">
        <v>214</v>
      </c>
      <c r="D3" s="27" t="s">
        <v>219</v>
      </c>
    </row>
    <row r="4" spans="1:4" ht="15.75" thickBot="1" x14ac:dyDescent="0.3">
      <c r="A4" s="22">
        <v>654036</v>
      </c>
      <c r="B4" s="23">
        <v>9468087</v>
      </c>
      <c r="C4" s="23">
        <v>6358362</v>
      </c>
      <c r="D4" s="24">
        <v>1766862</v>
      </c>
    </row>
    <row r="5" spans="1:4" x14ac:dyDescent="0.25">
      <c r="A5" s="11"/>
      <c r="B5" s="12"/>
      <c r="C5" s="12"/>
      <c r="D5" s="13"/>
    </row>
    <row r="6" spans="1:4" x14ac:dyDescent="0.25">
      <c r="A6" s="14">
        <f>GETPIVOTDATA("Sum of Deaths",$A$3)</f>
        <v>654036</v>
      </c>
      <c r="B6" s="15">
        <f>GETPIVOTDATA("Sum of Recovered",$A$3)</f>
        <v>9468087</v>
      </c>
      <c r="C6" s="15">
        <f>GETPIVOTDATA("Sum of Active",$A$3)</f>
        <v>6358362</v>
      </c>
      <c r="D6" s="16">
        <f>GETPIVOTDATA("Sum of 1 week change",$A$3)</f>
        <v>1766862</v>
      </c>
    </row>
    <row r="7" spans="1:4" ht="15.75" thickBot="1" x14ac:dyDescent="0.3">
      <c r="A7" s="17"/>
      <c r="B7" s="18"/>
      <c r="C7" s="18"/>
      <c r="D7" s="19"/>
    </row>
    <row r="10" spans="1:4" x14ac:dyDescent="0.25">
      <c r="A10" s="4" t="s">
        <v>209</v>
      </c>
      <c r="B10" t="s">
        <v>211</v>
      </c>
    </row>
    <row r="11" spans="1:4" x14ac:dyDescent="0.25">
      <c r="A11" s="5" t="s">
        <v>20</v>
      </c>
      <c r="B11" s="6">
        <v>723207</v>
      </c>
    </row>
    <row r="12" spans="1:4" x14ac:dyDescent="0.25">
      <c r="A12" s="5" t="s">
        <v>24</v>
      </c>
      <c r="B12" s="6">
        <v>8839286</v>
      </c>
    </row>
    <row r="13" spans="1:4" x14ac:dyDescent="0.25">
      <c r="A13" s="5" t="s">
        <v>16</v>
      </c>
      <c r="B13" s="6">
        <v>1490744</v>
      </c>
    </row>
    <row r="14" spans="1:4" x14ac:dyDescent="0.25">
      <c r="A14" s="5" t="s">
        <v>18</v>
      </c>
      <c r="B14" s="6">
        <v>3299523</v>
      </c>
    </row>
    <row r="15" spans="1:4" x14ac:dyDescent="0.25">
      <c r="A15" s="5" t="s">
        <v>34</v>
      </c>
      <c r="B15" s="6">
        <v>1835297</v>
      </c>
    </row>
    <row r="16" spans="1:4" x14ac:dyDescent="0.25">
      <c r="A16" s="5" t="s">
        <v>28</v>
      </c>
      <c r="B16" s="6">
        <v>292428</v>
      </c>
    </row>
    <row r="17" spans="1:2" x14ac:dyDescent="0.25">
      <c r="A17" s="5" t="s">
        <v>210</v>
      </c>
      <c r="B17" s="6">
        <v>16480485</v>
      </c>
    </row>
    <row r="21" spans="1:2" x14ac:dyDescent="0.25">
      <c r="A21" s="4" t="s">
        <v>209</v>
      </c>
      <c r="B21" t="s">
        <v>212</v>
      </c>
    </row>
    <row r="22" spans="1:2" x14ac:dyDescent="0.25">
      <c r="A22" s="5" t="s">
        <v>20</v>
      </c>
      <c r="B22" s="6">
        <v>12223</v>
      </c>
    </row>
    <row r="23" spans="1:2" x14ac:dyDescent="0.25">
      <c r="A23" s="5" t="s">
        <v>24</v>
      </c>
      <c r="B23" s="6">
        <v>342732</v>
      </c>
    </row>
    <row r="24" spans="1:2" x14ac:dyDescent="0.25">
      <c r="A24" s="5" t="s">
        <v>16</v>
      </c>
      <c r="B24" s="6">
        <v>38339</v>
      </c>
    </row>
    <row r="25" spans="1:2" x14ac:dyDescent="0.25">
      <c r="A25" s="5" t="s">
        <v>18</v>
      </c>
      <c r="B25" s="6">
        <v>211144</v>
      </c>
    </row>
    <row r="26" spans="1:2" x14ac:dyDescent="0.25">
      <c r="A26" s="5" t="s">
        <v>34</v>
      </c>
      <c r="B26" s="6">
        <v>41349</v>
      </c>
    </row>
    <row r="27" spans="1:2" x14ac:dyDescent="0.25">
      <c r="A27" s="5" t="s">
        <v>28</v>
      </c>
      <c r="B27" s="6">
        <v>8249</v>
      </c>
    </row>
    <row r="28" spans="1:2" x14ac:dyDescent="0.25">
      <c r="A28" s="5" t="s">
        <v>210</v>
      </c>
      <c r="B28" s="6">
        <v>654036</v>
      </c>
    </row>
    <row r="31" spans="1:2" x14ac:dyDescent="0.25">
      <c r="A31" s="4" t="s">
        <v>209</v>
      </c>
      <c r="B31" t="s">
        <v>213</v>
      </c>
    </row>
    <row r="32" spans="1:2" x14ac:dyDescent="0.25">
      <c r="A32" s="5" t="s">
        <v>20</v>
      </c>
      <c r="B32" s="6">
        <v>440645</v>
      </c>
    </row>
    <row r="33" spans="1:2" x14ac:dyDescent="0.25">
      <c r="A33" s="5" t="s">
        <v>24</v>
      </c>
      <c r="B33" s="6">
        <v>4468616</v>
      </c>
    </row>
    <row r="34" spans="1:2" x14ac:dyDescent="0.25">
      <c r="A34" s="5" t="s">
        <v>16</v>
      </c>
      <c r="B34" s="6">
        <v>1201400</v>
      </c>
    </row>
    <row r="35" spans="1:2" x14ac:dyDescent="0.25">
      <c r="A35" s="5" t="s">
        <v>18</v>
      </c>
      <c r="B35" s="6">
        <v>1993723</v>
      </c>
    </row>
    <row r="36" spans="1:2" x14ac:dyDescent="0.25">
      <c r="A36" s="5" t="s">
        <v>34</v>
      </c>
      <c r="B36" s="6">
        <v>1156933</v>
      </c>
    </row>
    <row r="37" spans="1:2" x14ac:dyDescent="0.25">
      <c r="A37" s="5" t="s">
        <v>28</v>
      </c>
      <c r="B37" s="6">
        <v>206770</v>
      </c>
    </row>
    <row r="38" spans="1:2" x14ac:dyDescent="0.25">
      <c r="A38" s="5" t="s">
        <v>210</v>
      </c>
      <c r="B38" s="6">
        <v>9468087</v>
      </c>
    </row>
    <row r="41" spans="1:2" x14ac:dyDescent="0.25">
      <c r="A41" s="4" t="s">
        <v>209</v>
      </c>
      <c r="B41" t="s">
        <v>215</v>
      </c>
    </row>
    <row r="42" spans="1:2" x14ac:dyDescent="0.25">
      <c r="A42" s="5" t="s">
        <v>20</v>
      </c>
      <c r="B42" s="6">
        <v>12176</v>
      </c>
    </row>
    <row r="43" spans="1:2" x14ac:dyDescent="0.25">
      <c r="A43" s="5" t="s">
        <v>24</v>
      </c>
      <c r="B43" s="6">
        <v>129531</v>
      </c>
    </row>
    <row r="44" spans="1:2" x14ac:dyDescent="0.25">
      <c r="A44" s="5" t="s">
        <v>16</v>
      </c>
      <c r="B44" s="6">
        <v>12410</v>
      </c>
    </row>
    <row r="45" spans="1:2" x14ac:dyDescent="0.25">
      <c r="A45" s="5" t="s">
        <v>18</v>
      </c>
      <c r="B45" s="6">
        <v>22294</v>
      </c>
    </row>
    <row r="46" spans="1:2" x14ac:dyDescent="0.25">
      <c r="A46" s="5" t="s">
        <v>34</v>
      </c>
      <c r="B46" s="6">
        <v>48993</v>
      </c>
    </row>
    <row r="47" spans="1:2" x14ac:dyDescent="0.25">
      <c r="A47" s="5" t="s">
        <v>28</v>
      </c>
      <c r="B47" s="6">
        <v>3289</v>
      </c>
    </row>
    <row r="48" spans="1:2" x14ac:dyDescent="0.25">
      <c r="A48" s="5" t="s">
        <v>210</v>
      </c>
      <c r="B48" s="6">
        <v>228693</v>
      </c>
    </row>
    <row r="51" spans="1:2" x14ac:dyDescent="0.25">
      <c r="A51" s="4" t="s">
        <v>209</v>
      </c>
      <c r="B51" t="s">
        <v>216</v>
      </c>
    </row>
    <row r="52" spans="1:2" x14ac:dyDescent="0.25">
      <c r="A52" s="5" t="s">
        <v>20</v>
      </c>
      <c r="B52" s="6">
        <v>353</v>
      </c>
    </row>
    <row r="53" spans="1:2" x14ac:dyDescent="0.25">
      <c r="A53" s="5" t="s">
        <v>24</v>
      </c>
      <c r="B53" s="6">
        <v>3555</v>
      </c>
    </row>
    <row r="54" spans="1:2" x14ac:dyDescent="0.25">
      <c r="A54" s="5" t="s">
        <v>16</v>
      </c>
      <c r="B54" s="6">
        <v>445</v>
      </c>
    </row>
    <row r="55" spans="1:2" x14ac:dyDescent="0.25">
      <c r="A55" s="5" t="s">
        <v>18</v>
      </c>
      <c r="B55" s="6">
        <v>304</v>
      </c>
    </row>
    <row r="56" spans="1:2" x14ac:dyDescent="0.25">
      <c r="A56" s="5" t="s">
        <v>34</v>
      </c>
      <c r="B56" s="6">
        <v>734</v>
      </c>
    </row>
    <row r="57" spans="1:2" x14ac:dyDescent="0.25">
      <c r="A57" s="5" t="s">
        <v>28</v>
      </c>
      <c r="B57" s="6">
        <v>24</v>
      </c>
    </row>
    <row r="58" spans="1:2" x14ac:dyDescent="0.25">
      <c r="A58" s="5" t="s">
        <v>210</v>
      </c>
      <c r="B58" s="6">
        <v>5415</v>
      </c>
    </row>
    <row r="62" spans="1:2" x14ac:dyDescent="0.25">
      <c r="A62" s="4" t="s">
        <v>209</v>
      </c>
      <c r="B62" t="s">
        <v>217</v>
      </c>
    </row>
    <row r="63" spans="1:2" x14ac:dyDescent="0.25">
      <c r="A63" s="5" t="s">
        <v>20</v>
      </c>
      <c r="B63" s="6">
        <v>14563</v>
      </c>
    </row>
    <row r="64" spans="1:2" x14ac:dyDescent="0.25">
      <c r="A64" s="5" t="s">
        <v>24</v>
      </c>
      <c r="B64" s="6">
        <v>94776</v>
      </c>
    </row>
    <row r="65" spans="1:3" x14ac:dyDescent="0.25">
      <c r="A65" s="5" t="s">
        <v>16</v>
      </c>
      <c r="B65" s="6">
        <v>14843</v>
      </c>
    </row>
    <row r="66" spans="1:3" x14ac:dyDescent="0.25">
      <c r="A66" s="5" t="s">
        <v>18</v>
      </c>
      <c r="B66" s="6">
        <v>11732</v>
      </c>
    </row>
    <row r="67" spans="1:3" x14ac:dyDescent="0.25">
      <c r="A67" s="5" t="s">
        <v>34</v>
      </c>
      <c r="B67" s="6">
        <v>37582</v>
      </c>
    </row>
    <row r="68" spans="1:3" x14ac:dyDescent="0.25">
      <c r="A68" s="5" t="s">
        <v>28</v>
      </c>
      <c r="B68" s="6">
        <v>1127</v>
      </c>
    </row>
    <row r="69" spans="1:3" x14ac:dyDescent="0.25">
      <c r="A69" s="5" t="s">
        <v>210</v>
      </c>
      <c r="B69" s="6">
        <v>174623</v>
      </c>
    </row>
    <row r="72" spans="1:3" x14ac:dyDescent="0.25">
      <c r="A72" s="4" t="s">
        <v>209</v>
      </c>
      <c r="B72" t="s">
        <v>219</v>
      </c>
      <c r="C72" t="s">
        <v>221</v>
      </c>
    </row>
    <row r="73" spans="1:3" x14ac:dyDescent="0.25">
      <c r="A73" s="5" t="s">
        <v>20</v>
      </c>
      <c r="B73" s="6">
        <v>115087</v>
      </c>
      <c r="C73" s="6">
        <v>608120</v>
      </c>
    </row>
    <row r="74" spans="1:3" x14ac:dyDescent="0.25">
      <c r="A74" s="5" t="s">
        <v>24</v>
      </c>
      <c r="B74" s="6">
        <v>1024088</v>
      </c>
      <c r="C74" s="6">
        <v>7815198</v>
      </c>
    </row>
    <row r="75" spans="1:3" x14ac:dyDescent="0.25">
      <c r="A75" s="5" t="s">
        <v>16</v>
      </c>
      <c r="B75" s="6">
        <v>91897</v>
      </c>
      <c r="C75" s="6">
        <v>1398847</v>
      </c>
    </row>
    <row r="76" spans="1:3" x14ac:dyDescent="0.25">
      <c r="A76" s="5" t="s">
        <v>18</v>
      </c>
      <c r="B76" s="6">
        <v>152707</v>
      </c>
      <c r="C76" s="6">
        <v>3146816</v>
      </c>
    </row>
    <row r="77" spans="1:3" x14ac:dyDescent="0.25">
      <c r="A77" s="5" t="s">
        <v>34</v>
      </c>
      <c r="B77" s="6">
        <v>357014</v>
      </c>
      <c r="C77" s="6">
        <v>1478283</v>
      </c>
    </row>
    <row r="78" spans="1:3" x14ac:dyDescent="0.25">
      <c r="A78" s="5" t="s">
        <v>28</v>
      </c>
      <c r="B78" s="6">
        <v>26069</v>
      </c>
      <c r="C78" s="6">
        <v>266359</v>
      </c>
    </row>
    <row r="79" spans="1:3" x14ac:dyDescent="0.25">
      <c r="A79" s="5" t="s">
        <v>210</v>
      </c>
      <c r="B79" s="6">
        <v>1766862</v>
      </c>
      <c r="C79" s="6">
        <v>14713623</v>
      </c>
    </row>
    <row r="82" spans="1:2" x14ac:dyDescent="0.25">
      <c r="A82" s="7"/>
      <c r="B82" s="7"/>
    </row>
    <row r="83" spans="1:2" x14ac:dyDescent="0.25">
      <c r="A83" s="5"/>
      <c r="B83" s="6"/>
    </row>
    <row r="84" spans="1:2" x14ac:dyDescent="0.25">
      <c r="A84" s="5"/>
      <c r="B84" s="6"/>
    </row>
    <row r="85" spans="1:2" x14ac:dyDescent="0.25">
      <c r="A85" s="5"/>
      <c r="B85" s="6"/>
    </row>
    <row r="86" spans="1:2" x14ac:dyDescent="0.25">
      <c r="A86" s="5"/>
      <c r="B86" s="6"/>
    </row>
    <row r="87" spans="1:2" x14ac:dyDescent="0.25">
      <c r="A87" s="5"/>
      <c r="B87" s="6"/>
    </row>
    <row r="88" spans="1:2" x14ac:dyDescent="0.25">
      <c r="A88" s="5"/>
      <c r="B88" s="6"/>
    </row>
    <row r="89" spans="1:2" x14ac:dyDescent="0.25">
      <c r="A89" s="20"/>
      <c r="B89" s="21"/>
    </row>
    <row r="93" spans="1:2" x14ac:dyDescent="0.25">
      <c r="A93" s="4" t="s">
        <v>209</v>
      </c>
      <c r="B93" t="s">
        <v>218</v>
      </c>
    </row>
    <row r="94" spans="1:2" x14ac:dyDescent="0.25">
      <c r="A94" s="5" t="s">
        <v>20</v>
      </c>
      <c r="B94" s="6">
        <v>110.71000000000002</v>
      </c>
    </row>
    <row r="95" spans="1:2" x14ac:dyDescent="0.25">
      <c r="A95" s="5" t="s">
        <v>24</v>
      </c>
      <c r="B95" s="6">
        <v>106.84</v>
      </c>
    </row>
    <row r="96" spans="1:2" x14ac:dyDescent="0.25">
      <c r="A96" s="5" t="s">
        <v>16</v>
      </c>
      <c r="B96" s="6">
        <v>78.389999999999986</v>
      </c>
    </row>
    <row r="97" spans="1:2" x14ac:dyDescent="0.25">
      <c r="A97" s="5" t="s">
        <v>18</v>
      </c>
      <c r="B97" s="6">
        <v>235.11</v>
      </c>
    </row>
    <row r="98" spans="1:2" x14ac:dyDescent="0.25">
      <c r="A98" s="5" t="s">
        <v>34</v>
      </c>
      <c r="B98" s="6">
        <v>12.959999999999999</v>
      </c>
    </row>
    <row r="99" spans="1:2" x14ac:dyDescent="0.25">
      <c r="A99" s="5" t="s">
        <v>28</v>
      </c>
      <c r="B99" s="6">
        <v>20.64</v>
      </c>
    </row>
    <row r="100" spans="1:2" x14ac:dyDescent="0.25">
      <c r="A100" s="5" t="s">
        <v>210</v>
      </c>
      <c r="B100" s="6">
        <v>564.65</v>
      </c>
    </row>
    <row r="105" spans="1:2" x14ac:dyDescent="0.25">
      <c r="A105" s="4" t="s">
        <v>209</v>
      </c>
      <c r="B105" t="s">
        <v>222</v>
      </c>
    </row>
    <row r="106" spans="1:2" x14ac:dyDescent="0.25">
      <c r="A106" s="5" t="s">
        <v>20</v>
      </c>
      <c r="B106" s="6">
        <v>2736.71</v>
      </c>
    </row>
    <row r="107" spans="1:2" x14ac:dyDescent="0.25">
      <c r="A107" s="5" t="s">
        <v>24</v>
      </c>
      <c r="B107" s="6">
        <v>2180.1999999999998</v>
      </c>
    </row>
    <row r="108" spans="1:2" x14ac:dyDescent="0.25">
      <c r="A108" s="5" t="s">
        <v>16</v>
      </c>
      <c r="B108" s="6">
        <v>1465.05</v>
      </c>
    </row>
    <row r="109" spans="1:2" x14ac:dyDescent="0.25">
      <c r="A109" s="5" t="s">
        <v>18</v>
      </c>
      <c r="B109" s="6">
        <v>3843.559999999999</v>
      </c>
    </row>
    <row r="110" spans="1:2" x14ac:dyDescent="0.25">
      <c r="A110" s="5" t="s">
        <v>34</v>
      </c>
      <c r="B110" s="6">
        <v>667.04000000000008</v>
      </c>
    </row>
    <row r="111" spans="1:2" x14ac:dyDescent="0.25">
      <c r="A111" s="5" t="s">
        <v>28</v>
      </c>
      <c r="B111" s="6">
        <v>1228.8800000000001</v>
      </c>
    </row>
    <row r="112" spans="1:2" x14ac:dyDescent="0.25">
      <c r="A112" s="5" t="s">
        <v>210</v>
      </c>
      <c r="B112" s="6">
        <v>12121.439999999999</v>
      </c>
    </row>
    <row r="116" spans="1:2" x14ac:dyDescent="0.25">
      <c r="A116" s="4" t="s">
        <v>209</v>
      </c>
      <c r="B116" t="s">
        <v>220</v>
      </c>
    </row>
    <row r="117" spans="1:2" x14ac:dyDescent="0.25">
      <c r="A117" s="5" t="s">
        <v>20</v>
      </c>
      <c r="B117" s="6">
        <v>868.15</v>
      </c>
    </row>
    <row r="118" spans="1:2" x14ac:dyDescent="0.25">
      <c r="A118" s="5" t="s">
        <v>24</v>
      </c>
      <c r="B118" s="6">
        <v>571.58999999999992</v>
      </c>
    </row>
    <row r="119" spans="1:2" x14ac:dyDescent="0.25">
      <c r="A119" s="5" t="s">
        <v>16</v>
      </c>
      <c r="B119" s="6">
        <v>230.61000000000004</v>
      </c>
    </row>
    <row r="120" spans="1:2" x14ac:dyDescent="0.25">
      <c r="A120" s="5" t="s">
        <v>18</v>
      </c>
      <c r="B120" s="6">
        <v>435.10000000000019</v>
      </c>
    </row>
    <row r="121" spans="1:2" x14ac:dyDescent="0.25">
      <c r="A121" s="5" t="s">
        <v>34</v>
      </c>
      <c r="B121" s="6">
        <v>85.13000000000001</v>
      </c>
    </row>
    <row r="122" spans="1:2" x14ac:dyDescent="0.25">
      <c r="A122" s="5" t="s">
        <v>28</v>
      </c>
      <c r="B122" s="6">
        <v>353.78</v>
      </c>
    </row>
    <row r="123" spans="1:2" x14ac:dyDescent="0.25">
      <c r="A123" s="5" t="s">
        <v>210</v>
      </c>
      <c r="B123" s="6">
        <v>2544.3600000000006</v>
      </c>
    </row>
  </sheetData>
  <sheetProtection formatCells="0" formatColumns="0" formatRows="0" insertColumns="0" insertRows="0" insertHyperlinks="0" deleteColumns="0" deleteRows="0" sort="0" autoFilter="0" pivotTables="0"/>
  <pageMargins left="0.7" right="0.7" top="0.75" bottom="0.75" header="0.3" footer="0.3"/>
  <drawing r:id="rId12"/>
  <extLst>
    <ext xmlns:x14="http://schemas.microsoft.com/office/spreadsheetml/2009/9/main" uri="{A8765BA9-456A-4dab-B4F3-ACF838C121DE}">
      <x14:slicerList>
        <x14:slicer r:id="rId1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20D855-E2EF-41CD-891F-8A903AE16565}">
  <sheetPr>
    <tabColor rgb="FFFF0000"/>
  </sheetPr>
  <dimension ref="A1:O188"/>
  <sheetViews>
    <sheetView topLeftCell="A48" workbookViewId="0">
      <selection activeCell="G8" sqref="A2:O188"/>
    </sheetView>
  </sheetViews>
  <sheetFormatPr defaultRowHeight="15" x14ac:dyDescent="0.25"/>
  <cols>
    <col min="1" max="1" width="30.7109375" style="1" bestFit="1" customWidth="1"/>
    <col min="2" max="2" width="12.85546875" style="3" customWidth="1"/>
    <col min="3" max="3" width="9.5703125" style="3" customWidth="1"/>
    <col min="4" max="4" width="12.85546875" style="3" customWidth="1"/>
    <col min="5" max="5" width="8.7109375" style="3" customWidth="1"/>
    <col min="6" max="6" width="12.7109375" style="3" customWidth="1"/>
    <col min="7" max="7" width="13.7109375" style="3" customWidth="1"/>
    <col min="8" max="8" width="16.7109375" style="3" customWidth="1"/>
    <col min="9" max="9" width="20.140625" style="2" customWidth="1"/>
    <col min="10" max="10" width="23.42578125" style="2" customWidth="1"/>
    <col min="11" max="11" width="24.28515625" style="2" customWidth="1"/>
    <col min="12" max="12" width="21.7109375" style="3" customWidth="1"/>
    <col min="13" max="13" width="16.140625" style="3" customWidth="1"/>
    <col min="14" max="14" width="19.42578125" style="2" customWidth="1"/>
    <col min="15" max="15" width="21.140625" style="1" bestFit="1" customWidth="1"/>
  </cols>
  <sheetData>
    <row r="1" spans="1:15" x14ac:dyDescent="0.25">
      <c r="A1" s="1" t="s">
        <v>0</v>
      </c>
      <c r="B1" s="3" t="s">
        <v>1</v>
      </c>
      <c r="C1" s="3" t="s">
        <v>2</v>
      </c>
      <c r="D1" s="3" t="s">
        <v>3</v>
      </c>
      <c r="E1" s="3" t="s">
        <v>4</v>
      </c>
      <c r="F1" s="3" t="s">
        <v>5</v>
      </c>
      <c r="G1" s="3" t="s">
        <v>6</v>
      </c>
      <c r="H1" s="3" t="s">
        <v>7</v>
      </c>
      <c r="I1" s="2" t="s">
        <v>8</v>
      </c>
      <c r="J1" s="2" t="s">
        <v>9</v>
      </c>
      <c r="K1" s="2" t="s">
        <v>10</v>
      </c>
      <c r="L1" s="3" t="s">
        <v>11</v>
      </c>
      <c r="M1" s="3" t="s">
        <v>12</v>
      </c>
      <c r="N1" s="2" t="s">
        <v>13</v>
      </c>
      <c r="O1" s="1" t="s">
        <v>14</v>
      </c>
    </row>
    <row r="2" spans="1:15" x14ac:dyDescent="0.25">
      <c r="A2" s="1" t="s">
        <v>15</v>
      </c>
      <c r="B2" s="3">
        <v>36263</v>
      </c>
      <c r="C2" s="3">
        <v>1269</v>
      </c>
      <c r="D2" s="3">
        <v>25198</v>
      </c>
      <c r="E2" s="3">
        <v>9796</v>
      </c>
      <c r="F2" s="3">
        <v>106</v>
      </c>
      <c r="G2" s="3">
        <v>10</v>
      </c>
      <c r="H2" s="3">
        <v>18</v>
      </c>
      <c r="I2" s="2">
        <v>3.5</v>
      </c>
      <c r="J2" s="2">
        <v>69.489999999999995</v>
      </c>
      <c r="K2" s="2">
        <v>5.04</v>
      </c>
      <c r="L2" s="3">
        <v>35526</v>
      </c>
      <c r="M2" s="3">
        <v>737</v>
      </c>
      <c r="N2" s="2">
        <v>2.0699999999999998</v>
      </c>
      <c r="O2" s="1" t="s">
        <v>16</v>
      </c>
    </row>
    <row r="3" spans="1:15" x14ac:dyDescent="0.25">
      <c r="A3" s="1" t="s">
        <v>17</v>
      </c>
      <c r="B3" s="3">
        <v>4880</v>
      </c>
      <c r="C3" s="3">
        <v>144</v>
      </c>
      <c r="D3" s="3">
        <v>2745</v>
      </c>
      <c r="E3" s="3">
        <v>1991</v>
      </c>
      <c r="F3" s="3">
        <v>117</v>
      </c>
      <c r="G3" s="3">
        <v>6</v>
      </c>
      <c r="H3" s="3">
        <v>63</v>
      </c>
      <c r="I3" s="2">
        <v>2.95</v>
      </c>
      <c r="J3" s="2">
        <v>56.25</v>
      </c>
      <c r="K3" s="2">
        <v>5.25</v>
      </c>
      <c r="L3" s="3">
        <v>4171</v>
      </c>
      <c r="M3" s="3">
        <v>709</v>
      </c>
      <c r="N3" s="2">
        <v>17</v>
      </c>
      <c r="O3" s="1" t="s">
        <v>18</v>
      </c>
    </row>
    <row r="4" spans="1:15" x14ac:dyDescent="0.25">
      <c r="A4" s="1" t="s">
        <v>19</v>
      </c>
      <c r="B4" s="3">
        <v>27973</v>
      </c>
      <c r="C4" s="3">
        <v>1163</v>
      </c>
      <c r="D4" s="3">
        <v>18837</v>
      </c>
      <c r="E4" s="3">
        <v>7973</v>
      </c>
      <c r="F4" s="3">
        <v>616</v>
      </c>
      <c r="G4" s="3">
        <v>8</v>
      </c>
      <c r="H4" s="3">
        <v>749</v>
      </c>
      <c r="I4" s="2">
        <v>4.16</v>
      </c>
      <c r="J4" s="2">
        <v>67.34</v>
      </c>
      <c r="K4" s="2">
        <v>6.17</v>
      </c>
      <c r="L4" s="3">
        <v>23691</v>
      </c>
      <c r="M4" s="3">
        <v>4282</v>
      </c>
      <c r="N4" s="2">
        <v>18.07</v>
      </c>
      <c r="O4" s="1" t="s">
        <v>20</v>
      </c>
    </row>
    <row r="5" spans="1:15" x14ac:dyDescent="0.25">
      <c r="A5" s="1" t="s">
        <v>21</v>
      </c>
      <c r="B5" s="3">
        <v>907</v>
      </c>
      <c r="C5" s="3">
        <v>52</v>
      </c>
      <c r="D5" s="3">
        <v>803</v>
      </c>
      <c r="E5" s="3">
        <v>52</v>
      </c>
      <c r="F5" s="3">
        <v>10</v>
      </c>
      <c r="G5" s="3">
        <v>0</v>
      </c>
      <c r="H5" s="3">
        <v>0</v>
      </c>
      <c r="I5" s="2">
        <v>5.73</v>
      </c>
      <c r="J5" s="2">
        <v>88.53</v>
      </c>
      <c r="K5" s="2">
        <v>6.48</v>
      </c>
      <c r="L5" s="3">
        <v>884</v>
      </c>
      <c r="M5" s="3">
        <v>23</v>
      </c>
      <c r="N5" s="2">
        <v>2.6</v>
      </c>
      <c r="O5" s="1" t="s">
        <v>18</v>
      </c>
    </row>
    <row r="6" spans="1:15" x14ac:dyDescent="0.25">
      <c r="A6" s="1" t="s">
        <v>22</v>
      </c>
      <c r="B6" s="3">
        <v>950</v>
      </c>
      <c r="C6" s="3">
        <v>41</v>
      </c>
      <c r="D6" s="3">
        <v>242</v>
      </c>
      <c r="E6" s="3">
        <v>667</v>
      </c>
      <c r="F6" s="3">
        <v>18</v>
      </c>
      <c r="G6" s="3">
        <v>1</v>
      </c>
      <c r="H6" s="3">
        <v>0</v>
      </c>
      <c r="I6" s="2">
        <v>4.32</v>
      </c>
      <c r="J6" s="2">
        <v>25.47</v>
      </c>
      <c r="K6" s="2">
        <v>16.940000000000001</v>
      </c>
      <c r="L6" s="3">
        <v>749</v>
      </c>
      <c r="M6" s="3">
        <v>201</v>
      </c>
      <c r="N6" s="2">
        <v>26.84</v>
      </c>
      <c r="O6" s="1" t="s">
        <v>20</v>
      </c>
    </row>
    <row r="7" spans="1:15" x14ac:dyDescent="0.25">
      <c r="A7" s="1" t="s">
        <v>23</v>
      </c>
      <c r="B7" s="3">
        <v>86</v>
      </c>
      <c r="C7" s="3">
        <v>3</v>
      </c>
      <c r="D7" s="3">
        <v>65</v>
      </c>
      <c r="E7" s="3">
        <v>18</v>
      </c>
      <c r="F7" s="3">
        <v>4</v>
      </c>
      <c r="G7" s="3">
        <v>0</v>
      </c>
      <c r="H7" s="3">
        <v>5</v>
      </c>
      <c r="I7" s="2">
        <v>3.49</v>
      </c>
      <c r="J7" s="2">
        <v>75.58</v>
      </c>
      <c r="K7" s="2">
        <v>4.62</v>
      </c>
      <c r="L7" s="3">
        <v>76</v>
      </c>
      <c r="M7" s="3">
        <v>10</v>
      </c>
      <c r="N7" s="2">
        <v>13.16</v>
      </c>
      <c r="O7" s="1" t="s">
        <v>24</v>
      </c>
    </row>
    <row r="8" spans="1:15" x14ac:dyDescent="0.25">
      <c r="A8" s="1" t="s">
        <v>25</v>
      </c>
      <c r="B8" s="3">
        <v>167416</v>
      </c>
      <c r="C8" s="3">
        <v>3059</v>
      </c>
      <c r="D8" s="3">
        <v>72575</v>
      </c>
      <c r="E8" s="3">
        <v>91782</v>
      </c>
      <c r="F8" s="3">
        <v>4890</v>
      </c>
      <c r="G8" s="3">
        <v>120</v>
      </c>
      <c r="H8" s="3">
        <v>2057</v>
      </c>
      <c r="I8" s="2">
        <v>1.83</v>
      </c>
      <c r="J8" s="2">
        <v>43.35</v>
      </c>
      <c r="K8" s="2">
        <v>4.21</v>
      </c>
      <c r="L8" s="3">
        <v>130774</v>
      </c>
      <c r="M8" s="3">
        <v>36642</v>
      </c>
      <c r="N8" s="2">
        <v>28.02</v>
      </c>
      <c r="O8" s="1" t="s">
        <v>24</v>
      </c>
    </row>
    <row r="9" spans="1:15" x14ac:dyDescent="0.25">
      <c r="A9" s="1" t="s">
        <v>26</v>
      </c>
      <c r="B9" s="3">
        <v>37390</v>
      </c>
      <c r="C9" s="3">
        <v>711</v>
      </c>
      <c r="D9" s="3">
        <v>26665</v>
      </c>
      <c r="E9" s="3">
        <v>10014</v>
      </c>
      <c r="F9" s="3">
        <v>73</v>
      </c>
      <c r="G9" s="3">
        <v>6</v>
      </c>
      <c r="H9" s="3">
        <v>187</v>
      </c>
      <c r="I9" s="2">
        <v>1.9</v>
      </c>
      <c r="J9" s="2">
        <v>71.319999999999993</v>
      </c>
      <c r="K9" s="2">
        <v>2.67</v>
      </c>
      <c r="L9" s="3">
        <v>34981</v>
      </c>
      <c r="M9" s="3">
        <v>2409</v>
      </c>
      <c r="N9" s="2">
        <v>6.89</v>
      </c>
      <c r="O9" s="1" t="s">
        <v>18</v>
      </c>
    </row>
    <row r="10" spans="1:15" x14ac:dyDescent="0.25">
      <c r="A10" s="1" t="s">
        <v>27</v>
      </c>
      <c r="B10" s="3">
        <v>15303</v>
      </c>
      <c r="C10" s="3">
        <v>167</v>
      </c>
      <c r="D10" s="3">
        <v>9311</v>
      </c>
      <c r="E10" s="3">
        <v>5825</v>
      </c>
      <c r="F10" s="3">
        <v>368</v>
      </c>
      <c r="G10" s="3">
        <v>6</v>
      </c>
      <c r="H10" s="3">
        <v>137</v>
      </c>
      <c r="I10" s="2">
        <v>1.0900000000000001</v>
      </c>
      <c r="J10" s="2">
        <v>60.84</v>
      </c>
      <c r="K10" s="2">
        <v>1.79</v>
      </c>
      <c r="L10" s="3">
        <v>12428</v>
      </c>
      <c r="M10" s="3">
        <v>2875</v>
      </c>
      <c r="N10" s="2">
        <v>23.13</v>
      </c>
      <c r="O10" s="1" t="s">
        <v>28</v>
      </c>
    </row>
    <row r="11" spans="1:15" x14ac:dyDescent="0.25">
      <c r="A11" s="1" t="s">
        <v>29</v>
      </c>
      <c r="B11" s="3">
        <v>20558</v>
      </c>
      <c r="C11" s="3">
        <v>713</v>
      </c>
      <c r="D11" s="3">
        <v>18246</v>
      </c>
      <c r="E11" s="3">
        <v>1599</v>
      </c>
      <c r="F11" s="3">
        <v>86</v>
      </c>
      <c r="G11" s="3">
        <v>1</v>
      </c>
      <c r="H11" s="3">
        <v>37</v>
      </c>
      <c r="I11" s="2">
        <v>3.47</v>
      </c>
      <c r="J11" s="2">
        <v>88.75</v>
      </c>
      <c r="K11" s="2">
        <v>3.91</v>
      </c>
      <c r="L11" s="3">
        <v>19743</v>
      </c>
      <c r="M11" s="3">
        <v>815</v>
      </c>
      <c r="N11" s="2">
        <v>4.13</v>
      </c>
      <c r="O11" s="1" t="s">
        <v>18</v>
      </c>
    </row>
    <row r="12" spans="1:15" x14ac:dyDescent="0.25">
      <c r="A12" s="1" t="s">
        <v>30</v>
      </c>
      <c r="B12" s="3">
        <v>30446</v>
      </c>
      <c r="C12" s="3">
        <v>423</v>
      </c>
      <c r="D12" s="3">
        <v>23242</v>
      </c>
      <c r="E12" s="3">
        <v>6781</v>
      </c>
      <c r="F12" s="3">
        <v>396</v>
      </c>
      <c r="G12" s="3">
        <v>6</v>
      </c>
      <c r="H12" s="3">
        <v>558</v>
      </c>
      <c r="I12" s="2">
        <v>1.39</v>
      </c>
      <c r="J12" s="2">
        <v>76.34</v>
      </c>
      <c r="K12" s="2">
        <v>1.82</v>
      </c>
      <c r="L12" s="3">
        <v>27890</v>
      </c>
      <c r="M12" s="3">
        <v>2556</v>
      </c>
      <c r="N12" s="2">
        <v>9.16</v>
      </c>
      <c r="O12" s="1" t="s">
        <v>18</v>
      </c>
    </row>
    <row r="13" spans="1:15" x14ac:dyDescent="0.25">
      <c r="A13" s="1" t="s">
        <v>31</v>
      </c>
      <c r="B13" s="3">
        <v>382</v>
      </c>
      <c r="C13" s="3">
        <v>11</v>
      </c>
      <c r="D13" s="3">
        <v>91</v>
      </c>
      <c r="E13" s="3">
        <v>280</v>
      </c>
      <c r="F13" s="3">
        <v>40</v>
      </c>
      <c r="G13" s="3">
        <v>0</v>
      </c>
      <c r="H13" s="3">
        <v>0</v>
      </c>
      <c r="I13" s="2">
        <v>2.88</v>
      </c>
      <c r="J13" s="2">
        <v>23.82</v>
      </c>
      <c r="K13" s="2">
        <v>12.09</v>
      </c>
      <c r="L13" s="3">
        <v>174</v>
      </c>
      <c r="M13" s="3">
        <v>208</v>
      </c>
      <c r="N13" s="2">
        <v>119.54</v>
      </c>
      <c r="O13" s="1" t="s">
        <v>24</v>
      </c>
    </row>
    <row r="14" spans="1:15" x14ac:dyDescent="0.25">
      <c r="A14" s="1" t="s">
        <v>32</v>
      </c>
      <c r="B14" s="3">
        <v>39482</v>
      </c>
      <c r="C14" s="3">
        <v>141</v>
      </c>
      <c r="D14" s="3">
        <v>36110</v>
      </c>
      <c r="E14" s="3">
        <v>3231</v>
      </c>
      <c r="F14" s="3">
        <v>351</v>
      </c>
      <c r="G14" s="3">
        <v>1</v>
      </c>
      <c r="H14" s="3">
        <v>421</v>
      </c>
      <c r="I14" s="2">
        <v>0.36</v>
      </c>
      <c r="J14" s="2">
        <v>91.46</v>
      </c>
      <c r="K14" s="2">
        <v>0.39</v>
      </c>
      <c r="L14" s="3">
        <v>36936</v>
      </c>
      <c r="M14" s="3">
        <v>2546</v>
      </c>
      <c r="N14" s="2">
        <v>6.89</v>
      </c>
      <c r="O14" s="1" t="s">
        <v>16</v>
      </c>
    </row>
    <row r="15" spans="1:15" x14ac:dyDescent="0.25">
      <c r="A15" s="1" t="s">
        <v>33</v>
      </c>
      <c r="B15" s="3">
        <v>226225</v>
      </c>
      <c r="C15" s="3">
        <v>2965</v>
      </c>
      <c r="D15" s="3">
        <v>125683</v>
      </c>
      <c r="E15" s="3">
        <v>97577</v>
      </c>
      <c r="F15" s="3">
        <v>2772</v>
      </c>
      <c r="G15" s="3">
        <v>37</v>
      </c>
      <c r="H15" s="3">
        <v>1801</v>
      </c>
      <c r="I15" s="2">
        <v>1.31</v>
      </c>
      <c r="J15" s="2">
        <v>55.56</v>
      </c>
      <c r="K15" s="2">
        <v>2.36</v>
      </c>
      <c r="L15" s="3">
        <v>207453</v>
      </c>
      <c r="M15" s="3">
        <v>18772</v>
      </c>
      <c r="N15" s="2">
        <v>9.0500000000000007</v>
      </c>
      <c r="O15" s="1" t="s">
        <v>34</v>
      </c>
    </row>
    <row r="16" spans="1:15" x14ac:dyDescent="0.25">
      <c r="A16" s="1" t="s">
        <v>35</v>
      </c>
      <c r="B16" s="3">
        <v>110</v>
      </c>
      <c r="C16" s="3">
        <v>7</v>
      </c>
      <c r="D16" s="3">
        <v>94</v>
      </c>
      <c r="E16" s="3">
        <v>9</v>
      </c>
      <c r="F16" s="3">
        <v>0</v>
      </c>
      <c r="G16" s="3">
        <v>0</v>
      </c>
      <c r="H16" s="3">
        <v>0</v>
      </c>
      <c r="I16" s="2">
        <v>6.36</v>
      </c>
      <c r="J16" s="2">
        <v>85.45</v>
      </c>
      <c r="K16" s="2">
        <v>7.45</v>
      </c>
      <c r="L16" s="3">
        <v>106</v>
      </c>
      <c r="M16" s="3">
        <v>4</v>
      </c>
      <c r="N16" s="2">
        <v>3.77</v>
      </c>
      <c r="O16" s="1" t="s">
        <v>24</v>
      </c>
    </row>
    <row r="17" spans="1:15" x14ac:dyDescent="0.25">
      <c r="A17" s="1" t="s">
        <v>36</v>
      </c>
      <c r="B17" s="3">
        <v>67251</v>
      </c>
      <c r="C17" s="3">
        <v>538</v>
      </c>
      <c r="D17" s="3">
        <v>60492</v>
      </c>
      <c r="E17" s="3">
        <v>6221</v>
      </c>
      <c r="F17" s="3">
        <v>119</v>
      </c>
      <c r="G17" s="3">
        <v>4</v>
      </c>
      <c r="H17" s="3">
        <v>67</v>
      </c>
      <c r="I17" s="2">
        <v>0.8</v>
      </c>
      <c r="J17" s="2">
        <v>89.95</v>
      </c>
      <c r="K17" s="2">
        <v>0.89</v>
      </c>
      <c r="L17" s="3">
        <v>66213</v>
      </c>
      <c r="M17" s="3">
        <v>1038</v>
      </c>
      <c r="N17" s="2">
        <v>1.57</v>
      </c>
      <c r="O17" s="1" t="s">
        <v>18</v>
      </c>
    </row>
    <row r="18" spans="1:15" x14ac:dyDescent="0.25">
      <c r="A18" s="1" t="s">
        <v>37</v>
      </c>
      <c r="B18" s="3">
        <v>66428</v>
      </c>
      <c r="C18" s="3">
        <v>9822</v>
      </c>
      <c r="D18" s="3">
        <v>17452</v>
      </c>
      <c r="E18" s="3">
        <v>39154</v>
      </c>
      <c r="F18" s="3">
        <v>402</v>
      </c>
      <c r="G18" s="3">
        <v>1</v>
      </c>
      <c r="H18" s="3">
        <v>14</v>
      </c>
      <c r="I18" s="2">
        <v>14.79</v>
      </c>
      <c r="J18" s="2">
        <v>26.27</v>
      </c>
      <c r="K18" s="2">
        <v>56.28</v>
      </c>
      <c r="L18" s="3">
        <v>64094</v>
      </c>
      <c r="M18" s="3">
        <v>2334</v>
      </c>
      <c r="N18" s="2">
        <v>3.64</v>
      </c>
      <c r="O18" s="1" t="s">
        <v>18</v>
      </c>
    </row>
    <row r="19" spans="1:15" x14ac:dyDescent="0.25">
      <c r="A19" s="1" t="s">
        <v>38</v>
      </c>
      <c r="B19" s="3">
        <v>48</v>
      </c>
      <c r="C19" s="3">
        <v>2</v>
      </c>
      <c r="D19" s="3">
        <v>26</v>
      </c>
      <c r="E19" s="3">
        <v>20</v>
      </c>
      <c r="F19" s="3">
        <v>0</v>
      </c>
      <c r="G19" s="3">
        <v>0</v>
      </c>
      <c r="H19" s="3">
        <v>0</v>
      </c>
      <c r="I19" s="2">
        <v>4.17</v>
      </c>
      <c r="J19" s="2">
        <v>54.17</v>
      </c>
      <c r="K19" s="2">
        <v>7.69</v>
      </c>
      <c r="L19" s="3">
        <v>40</v>
      </c>
      <c r="M19" s="3">
        <v>8</v>
      </c>
      <c r="N19" s="2">
        <v>20</v>
      </c>
      <c r="O19" s="1" t="s">
        <v>24</v>
      </c>
    </row>
    <row r="20" spans="1:15" x14ac:dyDescent="0.25">
      <c r="A20" s="1" t="s">
        <v>39</v>
      </c>
      <c r="B20" s="3">
        <v>1770</v>
      </c>
      <c r="C20" s="3">
        <v>35</v>
      </c>
      <c r="D20" s="3">
        <v>1036</v>
      </c>
      <c r="E20" s="3">
        <v>699</v>
      </c>
      <c r="F20" s="3">
        <v>0</v>
      </c>
      <c r="G20" s="3">
        <v>0</v>
      </c>
      <c r="H20" s="3">
        <v>0</v>
      </c>
      <c r="I20" s="2">
        <v>1.98</v>
      </c>
      <c r="J20" s="2">
        <v>58.53</v>
      </c>
      <c r="K20" s="2">
        <v>3.38</v>
      </c>
      <c r="L20" s="3">
        <v>1602</v>
      </c>
      <c r="M20" s="3">
        <v>168</v>
      </c>
      <c r="N20" s="2">
        <v>10.49</v>
      </c>
      <c r="O20" s="1" t="s">
        <v>20</v>
      </c>
    </row>
    <row r="21" spans="1:15" x14ac:dyDescent="0.25">
      <c r="A21" s="1" t="s">
        <v>40</v>
      </c>
      <c r="B21" s="3">
        <v>99</v>
      </c>
      <c r="C21" s="3">
        <v>0</v>
      </c>
      <c r="D21" s="3">
        <v>86</v>
      </c>
      <c r="E21" s="3">
        <v>13</v>
      </c>
      <c r="F21" s="3">
        <v>4</v>
      </c>
      <c r="G21" s="3">
        <v>0</v>
      </c>
      <c r="H21" s="3">
        <v>1</v>
      </c>
      <c r="I21" s="2">
        <v>0</v>
      </c>
      <c r="J21" s="2">
        <v>86.87</v>
      </c>
      <c r="K21" s="2">
        <v>0</v>
      </c>
      <c r="L21" s="3">
        <v>90</v>
      </c>
      <c r="M21" s="3">
        <v>9</v>
      </c>
      <c r="N21" s="2">
        <v>10</v>
      </c>
      <c r="O21" s="1" t="s">
        <v>34</v>
      </c>
    </row>
    <row r="22" spans="1:15" x14ac:dyDescent="0.25">
      <c r="A22" s="1" t="s">
        <v>41</v>
      </c>
      <c r="B22" s="3">
        <v>71181</v>
      </c>
      <c r="C22" s="3">
        <v>2647</v>
      </c>
      <c r="D22" s="3">
        <v>21478</v>
      </c>
      <c r="E22" s="3">
        <v>47056</v>
      </c>
      <c r="F22" s="3">
        <v>1752</v>
      </c>
      <c r="G22" s="3">
        <v>64</v>
      </c>
      <c r="H22" s="3">
        <v>309</v>
      </c>
      <c r="I22" s="2">
        <v>3.72</v>
      </c>
      <c r="J22" s="2">
        <v>30.17</v>
      </c>
      <c r="K22" s="2">
        <v>12.32</v>
      </c>
      <c r="L22" s="3">
        <v>60991</v>
      </c>
      <c r="M22" s="3">
        <v>10190</v>
      </c>
      <c r="N22" s="2">
        <v>16.71</v>
      </c>
      <c r="O22" s="1" t="s">
        <v>24</v>
      </c>
    </row>
    <row r="23" spans="1:15" x14ac:dyDescent="0.25">
      <c r="A23" s="1" t="s">
        <v>42</v>
      </c>
      <c r="B23" s="3">
        <v>10498</v>
      </c>
      <c r="C23" s="3">
        <v>294</v>
      </c>
      <c r="D23" s="3">
        <v>4930</v>
      </c>
      <c r="E23" s="3">
        <v>5274</v>
      </c>
      <c r="F23" s="3">
        <v>731</v>
      </c>
      <c r="G23" s="3">
        <v>14</v>
      </c>
      <c r="H23" s="3">
        <v>375</v>
      </c>
      <c r="I23" s="2">
        <v>2.8</v>
      </c>
      <c r="J23" s="2">
        <v>46.96</v>
      </c>
      <c r="K23" s="2">
        <v>5.96</v>
      </c>
      <c r="L23" s="3">
        <v>8479</v>
      </c>
      <c r="M23" s="3">
        <v>2019</v>
      </c>
      <c r="N23" s="2">
        <v>23.81</v>
      </c>
      <c r="O23" s="1" t="s">
        <v>18</v>
      </c>
    </row>
    <row r="24" spans="1:15" x14ac:dyDescent="0.25">
      <c r="A24" s="1" t="s">
        <v>43</v>
      </c>
      <c r="B24" s="3">
        <v>739</v>
      </c>
      <c r="C24" s="3">
        <v>2</v>
      </c>
      <c r="D24" s="3">
        <v>63</v>
      </c>
      <c r="E24" s="3">
        <v>674</v>
      </c>
      <c r="F24" s="3">
        <v>53</v>
      </c>
      <c r="G24" s="3">
        <v>1</v>
      </c>
      <c r="H24" s="3">
        <v>11</v>
      </c>
      <c r="I24" s="2">
        <v>0.27</v>
      </c>
      <c r="J24" s="2">
        <v>8.5299999999999994</v>
      </c>
      <c r="K24" s="2">
        <v>3.17</v>
      </c>
      <c r="L24" s="3">
        <v>522</v>
      </c>
      <c r="M24" s="3">
        <v>217</v>
      </c>
      <c r="N24" s="2">
        <v>41.57</v>
      </c>
      <c r="O24" s="1" t="s">
        <v>20</v>
      </c>
    </row>
    <row r="25" spans="1:15" x14ac:dyDescent="0.25">
      <c r="A25" s="1" t="s">
        <v>44</v>
      </c>
      <c r="B25" s="3">
        <v>2442375</v>
      </c>
      <c r="C25" s="3">
        <v>87618</v>
      </c>
      <c r="D25" s="3">
        <v>1846641</v>
      </c>
      <c r="E25" s="3">
        <v>508116</v>
      </c>
      <c r="F25" s="3">
        <v>23284</v>
      </c>
      <c r="G25" s="3">
        <v>614</v>
      </c>
      <c r="H25" s="3">
        <v>33728</v>
      </c>
      <c r="I25" s="2">
        <v>3.59</v>
      </c>
      <c r="J25" s="2">
        <v>75.61</v>
      </c>
      <c r="K25" s="2">
        <v>4.74</v>
      </c>
      <c r="L25" s="3">
        <v>2118646</v>
      </c>
      <c r="M25" s="3">
        <v>323729</v>
      </c>
      <c r="N25" s="2">
        <v>15.28</v>
      </c>
      <c r="O25" s="1" t="s">
        <v>24</v>
      </c>
    </row>
    <row r="26" spans="1:15" x14ac:dyDescent="0.25">
      <c r="A26" s="1" t="s">
        <v>45</v>
      </c>
      <c r="B26" s="3">
        <v>141</v>
      </c>
      <c r="C26" s="3">
        <v>3</v>
      </c>
      <c r="D26" s="3">
        <v>138</v>
      </c>
      <c r="E26" s="3">
        <v>0</v>
      </c>
      <c r="F26" s="3">
        <v>0</v>
      </c>
      <c r="G26" s="3">
        <v>0</v>
      </c>
      <c r="H26" s="3">
        <v>0</v>
      </c>
      <c r="I26" s="2">
        <v>2.13</v>
      </c>
      <c r="J26" s="2">
        <v>97.87</v>
      </c>
      <c r="K26" s="2">
        <v>2.17</v>
      </c>
      <c r="L26" s="3">
        <v>141</v>
      </c>
      <c r="M26" s="3">
        <v>0</v>
      </c>
      <c r="N26" s="2">
        <v>0</v>
      </c>
      <c r="O26" s="1" t="s">
        <v>28</v>
      </c>
    </row>
    <row r="27" spans="1:15" x14ac:dyDescent="0.25">
      <c r="A27" s="1" t="s">
        <v>46</v>
      </c>
      <c r="B27" s="3">
        <v>10621</v>
      </c>
      <c r="C27" s="3">
        <v>347</v>
      </c>
      <c r="D27" s="3">
        <v>5585</v>
      </c>
      <c r="E27" s="3">
        <v>4689</v>
      </c>
      <c r="F27" s="3">
        <v>194</v>
      </c>
      <c r="G27" s="3">
        <v>7</v>
      </c>
      <c r="H27" s="3">
        <v>230</v>
      </c>
      <c r="I27" s="2">
        <v>3.27</v>
      </c>
      <c r="J27" s="2">
        <v>52.58</v>
      </c>
      <c r="K27" s="2">
        <v>6.21</v>
      </c>
      <c r="L27" s="3">
        <v>8929</v>
      </c>
      <c r="M27" s="3">
        <v>1692</v>
      </c>
      <c r="N27" s="2">
        <v>18.95</v>
      </c>
      <c r="O27" s="1" t="s">
        <v>18</v>
      </c>
    </row>
    <row r="28" spans="1:15" x14ac:dyDescent="0.25">
      <c r="A28" s="1" t="s">
        <v>47</v>
      </c>
      <c r="B28" s="3">
        <v>1100</v>
      </c>
      <c r="C28" s="3">
        <v>53</v>
      </c>
      <c r="D28" s="3">
        <v>926</v>
      </c>
      <c r="E28" s="3">
        <v>121</v>
      </c>
      <c r="F28" s="3">
        <v>14</v>
      </c>
      <c r="G28" s="3">
        <v>0</v>
      </c>
      <c r="H28" s="3">
        <v>6</v>
      </c>
      <c r="I28" s="2">
        <v>4.82</v>
      </c>
      <c r="J28" s="2">
        <v>84.18</v>
      </c>
      <c r="K28" s="2">
        <v>5.72</v>
      </c>
      <c r="L28" s="3">
        <v>1065</v>
      </c>
      <c r="M28" s="3">
        <v>35</v>
      </c>
      <c r="N28" s="2">
        <v>3.29</v>
      </c>
      <c r="O28" s="1" t="s">
        <v>20</v>
      </c>
    </row>
    <row r="29" spans="1:15" x14ac:dyDescent="0.25">
      <c r="A29" s="1" t="s">
        <v>48</v>
      </c>
      <c r="B29" s="3">
        <v>350</v>
      </c>
      <c r="C29" s="3">
        <v>6</v>
      </c>
      <c r="D29" s="3">
        <v>292</v>
      </c>
      <c r="E29" s="3">
        <v>52</v>
      </c>
      <c r="F29" s="3">
        <v>0</v>
      </c>
      <c r="G29" s="3">
        <v>0</v>
      </c>
      <c r="H29" s="3">
        <v>2</v>
      </c>
      <c r="I29" s="2">
        <v>1.71</v>
      </c>
      <c r="J29" s="2">
        <v>83.43</v>
      </c>
      <c r="K29" s="2">
        <v>2.0499999999999998</v>
      </c>
      <c r="L29" s="3">
        <v>341</v>
      </c>
      <c r="M29" s="3">
        <v>9</v>
      </c>
      <c r="N29" s="2">
        <v>2.64</v>
      </c>
      <c r="O29" s="1" t="s">
        <v>34</v>
      </c>
    </row>
    <row r="30" spans="1:15" x14ac:dyDescent="0.25">
      <c r="A30" s="1" t="s">
        <v>49</v>
      </c>
      <c r="B30" s="3">
        <v>378</v>
      </c>
      <c r="C30" s="3">
        <v>1</v>
      </c>
      <c r="D30" s="3">
        <v>301</v>
      </c>
      <c r="E30" s="3">
        <v>76</v>
      </c>
      <c r="F30" s="3">
        <v>17</v>
      </c>
      <c r="G30" s="3">
        <v>0</v>
      </c>
      <c r="H30" s="3">
        <v>22</v>
      </c>
      <c r="I30" s="2">
        <v>0.26</v>
      </c>
      <c r="J30" s="2">
        <v>79.63</v>
      </c>
      <c r="K30" s="2">
        <v>0.33</v>
      </c>
      <c r="L30" s="3">
        <v>322</v>
      </c>
      <c r="M30" s="3">
        <v>56</v>
      </c>
      <c r="N30" s="2">
        <v>17.39</v>
      </c>
      <c r="O30" s="1" t="s">
        <v>20</v>
      </c>
    </row>
    <row r="31" spans="1:15" x14ac:dyDescent="0.25">
      <c r="A31" s="1" t="s">
        <v>50</v>
      </c>
      <c r="B31" s="3">
        <v>2328</v>
      </c>
      <c r="C31" s="3">
        <v>22</v>
      </c>
      <c r="D31" s="3">
        <v>1550</v>
      </c>
      <c r="E31" s="3">
        <v>756</v>
      </c>
      <c r="F31" s="3">
        <v>21</v>
      </c>
      <c r="G31" s="3">
        <v>0</v>
      </c>
      <c r="H31" s="3">
        <v>103</v>
      </c>
      <c r="I31" s="2">
        <v>0.95</v>
      </c>
      <c r="J31" s="2">
        <v>66.58</v>
      </c>
      <c r="K31" s="2">
        <v>1.42</v>
      </c>
      <c r="L31" s="3">
        <v>2071</v>
      </c>
      <c r="M31" s="3">
        <v>257</v>
      </c>
      <c r="N31" s="2">
        <v>12.41</v>
      </c>
      <c r="O31" s="1" t="s">
        <v>20</v>
      </c>
    </row>
    <row r="32" spans="1:15" x14ac:dyDescent="0.25">
      <c r="A32" s="1" t="s">
        <v>51</v>
      </c>
      <c r="B32" s="3">
        <v>226</v>
      </c>
      <c r="C32" s="3">
        <v>0</v>
      </c>
      <c r="D32" s="3">
        <v>147</v>
      </c>
      <c r="E32" s="3">
        <v>79</v>
      </c>
      <c r="F32" s="3">
        <v>1</v>
      </c>
      <c r="G32" s="3">
        <v>0</v>
      </c>
      <c r="H32" s="3">
        <v>4</v>
      </c>
      <c r="I32" s="2">
        <v>0</v>
      </c>
      <c r="J32" s="2">
        <v>65.040000000000006</v>
      </c>
      <c r="K32" s="2">
        <v>0</v>
      </c>
      <c r="L32" s="3">
        <v>171</v>
      </c>
      <c r="M32" s="3">
        <v>55</v>
      </c>
      <c r="N32" s="2">
        <v>32.159999999999997</v>
      </c>
      <c r="O32" s="1" t="s">
        <v>28</v>
      </c>
    </row>
    <row r="33" spans="1:15" x14ac:dyDescent="0.25">
      <c r="A33" s="1" t="s">
        <v>52</v>
      </c>
      <c r="B33" s="3">
        <v>17110</v>
      </c>
      <c r="C33" s="3">
        <v>391</v>
      </c>
      <c r="D33" s="3">
        <v>14539</v>
      </c>
      <c r="E33" s="3">
        <v>2180</v>
      </c>
      <c r="F33" s="3">
        <v>402</v>
      </c>
      <c r="G33" s="3">
        <v>6</v>
      </c>
      <c r="H33" s="3">
        <v>0</v>
      </c>
      <c r="I33" s="2">
        <v>2.29</v>
      </c>
      <c r="J33" s="2">
        <v>84.97</v>
      </c>
      <c r="K33" s="2">
        <v>2.69</v>
      </c>
      <c r="L33" s="3">
        <v>16157</v>
      </c>
      <c r="M33" s="3">
        <v>953</v>
      </c>
      <c r="N33" s="2">
        <v>5.9</v>
      </c>
      <c r="O33" s="1" t="s">
        <v>20</v>
      </c>
    </row>
    <row r="34" spans="1:15" x14ac:dyDescent="0.25">
      <c r="A34" s="1" t="s">
        <v>53</v>
      </c>
      <c r="B34" s="3">
        <v>116458</v>
      </c>
      <c r="C34" s="3">
        <v>8944</v>
      </c>
      <c r="D34" s="3">
        <v>0</v>
      </c>
      <c r="E34" s="3">
        <v>107514</v>
      </c>
      <c r="F34" s="3">
        <v>682</v>
      </c>
      <c r="G34" s="3">
        <v>11</v>
      </c>
      <c r="H34" s="3">
        <v>0</v>
      </c>
      <c r="I34" s="2">
        <v>7.68</v>
      </c>
      <c r="J34" s="2">
        <v>0</v>
      </c>
      <c r="K34" s="2" t="s">
        <v>54</v>
      </c>
      <c r="L34" s="3">
        <v>112925</v>
      </c>
      <c r="M34" s="3">
        <v>3533</v>
      </c>
      <c r="N34" s="2">
        <v>3.13</v>
      </c>
      <c r="O34" s="1" t="s">
        <v>24</v>
      </c>
    </row>
    <row r="35" spans="1:15" x14ac:dyDescent="0.25">
      <c r="A35" s="1" t="s">
        <v>55</v>
      </c>
      <c r="B35" s="3">
        <v>4599</v>
      </c>
      <c r="C35" s="3">
        <v>59</v>
      </c>
      <c r="D35" s="3">
        <v>1546</v>
      </c>
      <c r="E35" s="3">
        <v>2994</v>
      </c>
      <c r="F35" s="3">
        <v>0</v>
      </c>
      <c r="G35" s="3">
        <v>0</v>
      </c>
      <c r="H35" s="3">
        <v>0</v>
      </c>
      <c r="I35" s="2">
        <v>1.28</v>
      </c>
      <c r="J35" s="2">
        <v>33.619999999999997</v>
      </c>
      <c r="K35" s="2">
        <v>3.82</v>
      </c>
      <c r="L35" s="3">
        <v>4548</v>
      </c>
      <c r="M35" s="3">
        <v>51</v>
      </c>
      <c r="N35" s="2">
        <v>1.1200000000000001</v>
      </c>
      <c r="O35" s="1" t="s">
        <v>20</v>
      </c>
    </row>
    <row r="36" spans="1:15" x14ac:dyDescent="0.25">
      <c r="A36" s="1" t="s">
        <v>56</v>
      </c>
      <c r="B36" s="3">
        <v>922</v>
      </c>
      <c r="C36" s="3">
        <v>75</v>
      </c>
      <c r="D36" s="3">
        <v>810</v>
      </c>
      <c r="E36" s="3">
        <v>37</v>
      </c>
      <c r="F36" s="3">
        <v>7</v>
      </c>
      <c r="G36" s="3">
        <v>0</v>
      </c>
      <c r="H36" s="3">
        <v>0</v>
      </c>
      <c r="I36" s="2">
        <v>8.1300000000000008</v>
      </c>
      <c r="J36" s="2">
        <v>87.85</v>
      </c>
      <c r="K36" s="2">
        <v>9.26</v>
      </c>
      <c r="L36" s="3">
        <v>889</v>
      </c>
      <c r="M36" s="3">
        <v>33</v>
      </c>
      <c r="N36" s="2">
        <v>3.71</v>
      </c>
      <c r="O36" s="1" t="s">
        <v>20</v>
      </c>
    </row>
    <row r="37" spans="1:15" x14ac:dyDescent="0.25">
      <c r="A37" s="1" t="s">
        <v>57</v>
      </c>
      <c r="B37" s="3">
        <v>347923</v>
      </c>
      <c r="C37" s="3">
        <v>9187</v>
      </c>
      <c r="D37" s="3">
        <v>319954</v>
      </c>
      <c r="E37" s="3">
        <v>18782</v>
      </c>
      <c r="F37" s="3">
        <v>2133</v>
      </c>
      <c r="G37" s="3">
        <v>75</v>
      </c>
      <c r="H37" s="3">
        <v>1859</v>
      </c>
      <c r="I37" s="2">
        <v>2.64</v>
      </c>
      <c r="J37" s="2">
        <v>91.96</v>
      </c>
      <c r="K37" s="2">
        <v>2.87</v>
      </c>
      <c r="L37" s="3">
        <v>333029</v>
      </c>
      <c r="M37" s="3">
        <v>14894</v>
      </c>
      <c r="N37" s="2">
        <v>4.47</v>
      </c>
      <c r="O37" s="1" t="s">
        <v>24</v>
      </c>
    </row>
    <row r="38" spans="1:15" x14ac:dyDescent="0.25">
      <c r="A38" s="1" t="s">
        <v>58</v>
      </c>
      <c r="B38" s="3">
        <v>86783</v>
      </c>
      <c r="C38" s="3">
        <v>4656</v>
      </c>
      <c r="D38" s="3">
        <v>78869</v>
      </c>
      <c r="E38" s="3">
        <v>3258</v>
      </c>
      <c r="F38" s="3">
        <v>213</v>
      </c>
      <c r="G38" s="3">
        <v>4</v>
      </c>
      <c r="H38" s="3">
        <v>7</v>
      </c>
      <c r="I38" s="2">
        <v>5.37</v>
      </c>
      <c r="J38" s="2">
        <v>90.88</v>
      </c>
      <c r="K38" s="2">
        <v>5.9</v>
      </c>
      <c r="L38" s="3">
        <v>85622</v>
      </c>
      <c r="M38" s="3">
        <v>1161</v>
      </c>
      <c r="N38" s="2">
        <v>1.36</v>
      </c>
      <c r="O38" s="1" t="s">
        <v>28</v>
      </c>
    </row>
    <row r="39" spans="1:15" x14ac:dyDescent="0.25">
      <c r="A39" s="1" t="s">
        <v>59</v>
      </c>
      <c r="B39" s="3">
        <v>257101</v>
      </c>
      <c r="C39" s="3">
        <v>8777</v>
      </c>
      <c r="D39" s="3">
        <v>131161</v>
      </c>
      <c r="E39" s="3">
        <v>117163</v>
      </c>
      <c r="F39" s="3">
        <v>16306</v>
      </c>
      <c r="G39" s="3">
        <v>508</v>
      </c>
      <c r="H39" s="3">
        <v>11494</v>
      </c>
      <c r="I39" s="2">
        <v>3.41</v>
      </c>
      <c r="J39" s="2">
        <v>51.02</v>
      </c>
      <c r="K39" s="2">
        <v>6.69</v>
      </c>
      <c r="L39" s="3">
        <v>204005</v>
      </c>
      <c r="M39" s="3">
        <v>53096</v>
      </c>
      <c r="N39" s="2">
        <v>26.03</v>
      </c>
      <c r="O39" s="1" t="s">
        <v>24</v>
      </c>
    </row>
    <row r="40" spans="1:15" x14ac:dyDescent="0.25">
      <c r="A40" s="1" t="s">
        <v>60</v>
      </c>
      <c r="B40" s="3">
        <v>354</v>
      </c>
      <c r="C40" s="3">
        <v>7</v>
      </c>
      <c r="D40" s="3">
        <v>328</v>
      </c>
      <c r="E40" s="3">
        <v>19</v>
      </c>
      <c r="F40" s="3">
        <v>0</v>
      </c>
      <c r="G40" s="3">
        <v>0</v>
      </c>
      <c r="H40" s="3">
        <v>0</v>
      </c>
      <c r="I40" s="2">
        <v>1.98</v>
      </c>
      <c r="J40" s="2">
        <v>92.66</v>
      </c>
      <c r="K40" s="2">
        <v>2.13</v>
      </c>
      <c r="L40" s="3">
        <v>334</v>
      </c>
      <c r="M40" s="3">
        <v>20</v>
      </c>
      <c r="N40" s="2">
        <v>5.99</v>
      </c>
      <c r="O40" s="1" t="s">
        <v>20</v>
      </c>
    </row>
    <row r="41" spans="1:15" x14ac:dyDescent="0.25">
      <c r="A41" s="1" t="s">
        <v>61</v>
      </c>
      <c r="B41" s="3">
        <v>3200</v>
      </c>
      <c r="C41" s="3">
        <v>54</v>
      </c>
      <c r="D41" s="3">
        <v>829</v>
      </c>
      <c r="E41" s="3">
        <v>2317</v>
      </c>
      <c r="F41" s="3">
        <v>162</v>
      </c>
      <c r="G41" s="3">
        <v>3</v>
      </c>
      <c r="H41" s="3">
        <v>73</v>
      </c>
      <c r="I41" s="2">
        <v>1.69</v>
      </c>
      <c r="J41" s="2">
        <v>25.91</v>
      </c>
      <c r="K41" s="2">
        <v>6.51</v>
      </c>
      <c r="L41" s="3">
        <v>2851</v>
      </c>
      <c r="M41" s="3">
        <v>349</v>
      </c>
      <c r="N41" s="2">
        <v>12.24</v>
      </c>
      <c r="O41" s="1" t="s">
        <v>20</v>
      </c>
    </row>
    <row r="42" spans="1:15" x14ac:dyDescent="0.25">
      <c r="A42" s="1" t="s">
        <v>62</v>
      </c>
      <c r="B42" s="3">
        <v>8844</v>
      </c>
      <c r="C42" s="3">
        <v>208</v>
      </c>
      <c r="D42" s="3">
        <v>5700</v>
      </c>
      <c r="E42" s="3">
        <v>2936</v>
      </c>
      <c r="F42" s="3">
        <v>13</v>
      </c>
      <c r="G42" s="3">
        <v>4</v>
      </c>
      <c r="H42" s="3">
        <v>190</v>
      </c>
      <c r="I42" s="2">
        <v>2.35</v>
      </c>
      <c r="J42" s="2">
        <v>64.45</v>
      </c>
      <c r="K42" s="2">
        <v>3.65</v>
      </c>
      <c r="L42" s="3">
        <v>8443</v>
      </c>
      <c r="M42" s="3">
        <v>401</v>
      </c>
      <c r="N42" s="2">
        <v>4.75</v>
      </c>
      <c r="O42" s="1" t="s">
        <v>20</v>
      </c>
    </row>
    <row r="43" spans="1:15" x14ac:dyDescent="0.25">
      <c r="A43" s="1" t="s">
        <v>63</v>
      </c>
      <c r="B43" s="3">
        <v>15841</v>
      </c>
      <c r="C43" s="3">
        <v>115</v>
      </c>
      <c r="D43" s="3">
        <v>3824</v>
      </c>
      <c r="E43" s="3">
        <v>11902</v>
      </c>
      <c r="F43" s="3">
        <v>612</v>
      </c>
      <c r="G43" s="3">
        <v>11</v>
      </c>
      <c r="H43" s="3">
        <v>88</v>
      </c>
      <c r="I43" s="2">
        <v>0.73</v>
      </c>
      <c r="J43" s="2">
        <v>24.14</v>
      </c>
      <c r="K43" s="2">
        <v>3.01</v>
      </c>
      <c r="L43" s="3">
        <v>11534</v>
      </c>
      <c r="M43" s="3">
        <v>4307</v>
      </c>
      <c r="N43" s="2">
        <v>37.340000000000003</v>
      </c>
      <c r="O43" s="1" t="s">
        <v>24</v>
      </c>
    </row>
    <row r="44" spans="1:15" x14ac:dyDescent="0.25">
      <c r="A44" s="1" t="s">
        <v>64</v>
      </c>
      <c r="B44" s="3">
        <v>15655</v>
      </c>
      <c r="C44" s="3">
        <v>96</v>
      </c>
      <c r="D44" s="3">
        <v>10361</v>
      </c>
      <c r="E44" s="3">
        <v>5198</v>
      </c>
      <c r="F44" s="3">
        <v>59</v>
      </c>
      <c r="G44" s="3">
        <v>0</v>
      </c>
      <c r="H44" s="3">
        <v>183</v>
      </c>
      <c r="I44" s="2">
        <v>0.61</v>
      </c>
      <c r="J44" s="2">
        <v>66.180000000000007</v>
      </c>
      <c r="K44" s="2">
        <v>0.93</v>
      </c>
      <c r="L44" s="3">
        <v>14312</v>
      </c>
      <c r="M44" s="3">
        <v>1343</v>
      </c>
      <c r="N44" s="2">
        <v>9.3800000000000008</v>
      </c>
      <c r="O44" s="1" t="s">
        <v>20</v>
      </c>
    </row>
    <row r="45" spans="1:15" x14ac:dyDescent="0.25">
      <c r="A45" s="1" t="s">
        <v>65</v>
      </c>
      <c r="B45" s="3">
        <v>4881</v>
      </c>
      <c r="C45" s="3">
        <v>139</v>
      </c>
      <c r="D45" s="3">
        <v>3936</v>
      </c>
      <c r="E45" s="3">
        <v>806</v>
      </c>
      <c r="F45" s="3">
        <v>24</v>
      </c>
      <c r="G45" s="3">
        <v>3</v>
      </c>
      <c r="H45" s="3">
        <v>70</v>
      </c>
      <c r="I45" s="2">
        <v>2.85</v>
      </c>
      <c r="J45" s="2">
        <v>80.64</v>
      </c>
      <c r="K45" s="2">
        <v>3.53</v>
      </c>
      <c r="L45" s="3">
        <v>4370</v>
      </c>
      <c r="M45" s="3">
        <v>511</v>
      </c>
      <c r="N45" s="2">
        <v>11.69</v>
      </c>
      <c r="O45" s="1" t="s">
        <v>18</v>
      </c>
    </row>
    <row r="46" spans="1:15" x14ac:dyDescent="0.25">
      <c r="A46" s="1" t="s">
        <v>66</v>
      </c>
      <c r="B46" s="3">
        <v>2532</v>
      </c>
      <c r="C46" s="3">
        <v>87</v>
      </c>
      <c r="D46" s="3">
        <v>2351</v>
      </c>
      <c r="E46" s="3">
        <v>94</v>
      </c>
      <c r="F46" s="3">
        <v>37</v>
      </c>
      <c r="G46" s="3">
        <v>0</v>
      </c>
      <c r="H46" s="3">
        <v>2</v>
      </c>
      <c r="I46" s="2">
        <v>3.44</v>
      </c>
      <c r="J46" s="2">
        <v>92.85</v>
      </c>
      <c r="K46" s="2">
        <v>3.7</v>
      </c>
      <c r="L46" s="3">
        <v>2446</v>
      </c>
      <c r="M46" s="3">
        <v>86</v>
      </c>
      <c r="N46" s="2">
        <v>3.52</v>
      </c>
      <c r="O46" s="1" t="s">
        <v>24</v>
      </c>
    </row>
    <row r="47" spans="1:15" x14ac:dyDescent="0.25">
      <c r="A47" s="1" t="s">
        <v>67</v>
      </c>
      <c r="B47" s="3">
        <v>1060</v>
      </c>
      <c r="C47" s="3">
        <v>19</v>
      </c>
      <c r="D47" s="3">
        <v>852</v>
      </c>
      <c r="E47" s="3">
        <v>189</v>
      </c>
      <c r="F47" s="3">
        <v>3</v>
      </c>
      <c r="G47" s="3">
        <v>0</v>
      </c>
      <c r="H47" s="3">
        <v>0</v>
      </c>
      <c r="I47" s="2">
        <v>1.79</v>
      </c>
      <c r="J47" s="2">
        <v>80.38</v>
      </c>
      <c r="K47" s="2">
        <v>2.23</v>
      </c>
      <c r="L47" s="3">
        <v>1038</v>
      </c>
      <c r="M47" s="3">
        <v>22</v>
      </c>
      <c r="N47" s="2">
        <v>2.12</v>
      </c>
      <c r="O47" s="1" t="s">
        <v>18</v>
      </c>
    </row>
    <row r="48" spans="1:15" x14ac:dyDescent="0.25">
      <c r="A48" s="1" t="s">
        <v>68</v>
      </c>
      <c r="B48" s="3">
        <v>15516</v>
      </c>
      <c r="C48" s="3">
        <v>373</v>
      </c>
      <c r="D48" s="3">
        <v>11428</v>
      </c>
      <c r="E48" s="3">
        <v>3715</v>
      </c>
      <c r="F48" s="3">
        <v>192</v>
      </c>
      <c r="G48" s="3">
        <v>2</v>
      </c>
      <c r="H48" s="3">
        <v>0</v>
      </c>
      <c r="I48" s="2">
        <v>2.4</v>
      </c>
      <c r="J48" s="2">
        <v>73.650000000000006</v>
      </c>
      <c r="K48" s="2">
        <v>3.26</v>
      </c>
      <c r="L48" s="3">
        <v>14098</v>
      </c>
      <c r="M48" s="3">
        <v>1418</v>
      </c>
      <c r="N48" s="2">
        <v>10.06</v>
      </c>
      <c r="O48" s="1" t="s">
        <v>18</v>
      </c>
    </row>
    <row r="49" spans="1:15" x14ac:dyDescent="0.25">
      <c r="A49" s="1" t="s">
        <v>69</v>
      </c>
      <c r="B49" s="3">
        <v>13761</v>
      </c>
      <c r="C49" s="3">
        <v>613</v>
      </c>
      <c r="D49" s="3">
        <v>12605</v>
      </c>
      <c r="E49" s="3">
        <v>543</v>
      </c>
      <c r="F49" s="3">
        <v>109</v>
      </c>
      <c r="G49" s="3">
        <v>0</v>
      </c>
      <c r="H49" s="3">
        <v>77</v>
      </c>
      <c r="I49" s="2">
        <v>4.45</v>
      </c>
      <c r="J49" s="2">
        <v>91.6</v>
      </c>
      <c r="K49" s="2">
        <v>4.8600000000000003</v>
      </c>
      <c r="L49" s="3">
        <v>13453</v>
      </c>
      <c r="M49" s="3">
        <v>308</v>
      </c>
      <c r="N49" s="2">
        <v>2.29</v>
      </c>
      <c r="O49" s="1" t="s">
        <v>18</v>
      </c>
    </row>
    <row r="50" spans="1:15" x14ac:dyDescent="0.25">
      <c r="A50" s="1" t="s">
        <v>70</v>
      </c>
      <c r="B50" s="3">
        <v>5059</v>
      </c>
      <c r="C50" s="3">
        <v>58</v>
      </c>
      <c r="D50" s="3">
        <v>4977</v>
      </c>
      <c r="E50" s="3">
        <v>24</v>
      </c>
      <c r="F50" s="3">
        <v>9</v>
      </c>
      <c r="G50" s="3">
        <v>0</v>
      </c>
      <c r="H50" s="3">
        <v>11</v>
      </c>
      <c r="I50" s="2">
        <v>1.1499999999999999</v>
      </c>
      <c r="J50" s="2">
        <v>98.38</v>
      </c>
      <c r="K50" s="2">
        <v>1.17</v>
      </c>
      <c r="L50" s="3">
        <v>5020</v>
      </c>
      <c r="M50" s="3">
        <v>39</v>
      </c>
      <c r="N50" s="2">
        <v>0.78</v>
      </c>
      <c r="O50" s="1" t="s">
        <v>16</v>
      </c>
    </row>
    <row r="51" spans="1:15" x14ac:dyDescent="0.25">
      <c r="A51" s="1" t="s">
        <v>71</v>
      </c>
      <c r="B51" s="3">
        <v>18</v>
      </c>
      <c r="C51" s="3">
        <v>0</v>
      </c>
      <c r="D51" s="3">
        <v>18</v>
      </c>
      <c r="E51" s="3">
        <v>0</v>
      </c>
      <c r="F51" s="3">
        <v>0</v>
      </c>
      <c r="G51" s="3">
        <v>0</v>
      </c>
      <c r="H51" s="3">
        <v>0</v>
      </c>
      <c r="I51" s="2">
        <v>0</v>
      </c>
      <c r="J51" s="2">
        <v>100</v>
      </c>
      <c r="K51" s="2">
        <v>0</v>
      </c>
      <c r="L51" s="3">
        <v>18</v>
      </c>
      <c r="M51" s="3">
        <v>0</v>
      </c>
      <c r="N51" s="2">
        <v>0</v>
      </c>
      <c r="O51" s="1" t="s">
        <v>24</v>
      </c>
    </row>
    <row r="52" spans="1:15" x14ac:dyDescent="0.25">
      <c r="A52" s="1" t="s">
        <v>72</v>
      </c>
      <c r="B52" s="3">
        <v>64156</v>
      </c>
      <c r="C52" s="3">
        <v>1083</v>
      </c>
      <c r="D52" s="3">
        <v>30204</v>
      </c>
      <c r="E52" s="3">
        <v>32869</v>
      </c>
      <c r="F52" s="3">
        <v>1248</v>
      </c>
      <c r="G52" s="3">
        <v>20</v>
      </c>
      <c r="H52" s="3">
        <v>1601</v>
      </c>
      <c r="I52" s="2">
        <v>1.69</v>
      </c>
      <c r="J52" s="2">
        <v>47.08</v>
      </c>
      <c r="K52" s="2">
        <v>3.59</v>
      </c>
      <c r="L52" s="3">
        <v>53956</v>
      </c>
      <c r="M52" s="3">
        <v>10200</v>
      </c>
      <c r="N52" s="2">
        <v>18.899999999999999</v>
      </c>
      <c r="O52" s="1" t="s">
        <v>24</v>
      </c>
    </row>
    <row r="53" spans="1:15" x14ac:dyDescent="0.25">
      <c r="A53" s="1" t="s">
        <v>73</v>
      </c>
      <c r="B53" s="3">
        <v>81161</v>
      </c>
      <c r="C53" s="3">
        <v>5532</v>
      </c>
      <c r="D53" s="3">
        <v>34896</v>
      </c>
      <c r="E53" s="3">
        <v>40733</v>
      </c>
      <c r="F53" s="3">
        <v>467</v>
      </c>
      <c r="G53" s="3">
        <v>17</v>
      </c>
      <c r="H53" s="3">
        <v>0</v>
      </c>
      <c r="I53" s="2">
        <v>6.82</v>
      </c>
      <c r="J53" s="2">
        <v>43</v>
      </c>
      <c r="K53" s="2">
        <v>15.85</v>
      </c>
      <c r="L53" s="3">
        <v>74620</v>
      </c>
      <c r="M53" s="3">
        <v>6541</v>
      </c>
      <c r="N53" s="2">
        <v>8.77</v>
      </c>
      <c r="O53" s="1" t="s">
        <v>24</v>
      </c>
    </row>
    <row r="54" spans="1:15" x14ac:dyDescent="0.25">
      <c r="A54" s="1" t="s">
        <v>74</v>
      </c>
      <c r="B54" s="3">
        <v>92482</v>
      </c>
      <c r="C54" s="3">
        <v>4652</v>
      </c>
      <c r="D54" s="3">
        <v>34838</v>
      </c>
      <c r="E54" s="3">
        <v>52992</v>
      </c>
      <c r="F54" s="3">
        <v>420</v>
      </c>
      <c r="G54" s="3">
        <v>46</v>
      </c>
      <c r="H54" s="3">
        <v>1007</v>
      </c>
      <c r="I54" s="2">
        <v>5.03</v>
      </c>
      <c r="J54" s="2">
        <v>37.67</v>
      </c>
      <c r="K54" s="2">
        <v>13.35</v>
      </c>
      <c r="L54" s="3">
        <v>88402</v>
      </c>
      <c r="M54" s="3">
        <v>4080</v>
      </c>
      <c r="N54" s="2">
        <v>4.62</v>
      </c>
      <c r="O54" s="1" t="s">
        <v>16</v>
      </c>
    </row>
    <row r="55" spans="1:15" x14ac:dyDescent="0.25">
      <c r="A55" s="1" t="s">
        <v>75</v>
      </c>
      <c r="B55" s="3">
        <v>15035</v>
      </c>
      <c r="C55" s="3">
        <v>408</v>
      </c>
      <c r="D55" s="3">
        <v>7778</v>
      </c>
      <c r="E55" s="3">
        <v>6849</v>
      </c>
      <c r="F55" s="3">
        <v>405</v>
      </c>
      <c r="G55" s="3">
        <v>8</v>
      </c>
      <c r="H55" s="3">
        <v>130</v>
      </c>
      <c r="I55" s="2">
        <v>2.71</v>
      </c>
      <c r="J55" s="2">
        <v>51.73</v>
      </c>
      <c r="K55" s="2">
        <v>5.25</v>
      </c>
      <c r="L55" s="3">
        <v>12207</v>
      </c>
      <c r="M55" s="3">
        <v>2828</v>
      </c>
      <c r="N55" s="2">
        <v>23.17</v>
      </c>
      <c r="O55" s="1" t="s">
        <v>24</v>
      </c>
    </row>
    <row r="56" spans="1:15" x14ac:dyDescent="0.25">
      <c r="A56" s="1" t="s">
        <v>76</v>
      </c>
      <c r="B56" s="3">
        <v>3071</v>
      </c>
      <c r="C56" s="3">
        <v>51</v>
      </c>
      <c r="D56" s="3">
        <v>842</v>
      </c>
      <c r="E56" s="3">
        <v>2178</v>
      </c>
      <c r="F56" s="3">
        <v>0</v>
      </c>
      <c r="G56" s="3">
        <v>0</v>
      </c>
      <c r="H56" s="3">
        <v>0</v>
      </c>
      <c r="I56" s="2">
        <v>1.66</v>
      </c>
      <c r="J56" s="2">
        <v>27.42</v>
      </c>
      <c r="K56" s="2">
        <v>6.06</v>
      </c>
      <c r="L56" s="3">
        <v>3071</v>
      </c>
      <c r="M56" s="3">
        <v>0</v>
      </c>
      <c r="N56" s="2">
        <v>0</v>
      </c>
      <c r="O56" s="1" t="s">
        <v>20</v>
      </c>
    </row>
    <row r="57" spans="1:15" x14ac:dyDescent="0.25">
      <c r="A57" s="1" t="s">
        <v>77</v>
      </c>
      <c r="B57" s="3">
        <v>265</v>
      </c>
      <c r="C57" s="3">
        <v>0</v>
      </c>
      <c r="D57" s="3">
        <v>191</v>
      </c>
      <c r="E57" s="3">
        <v>74</v>
      </c>
      <c r="F57" s="3">
        <v>2</v>
      </c>
      <c r="G57" s="3">
        <v>0</v>
      </c>
      <c r="H57" s="3">
        <v>2</v>
      </c>
      <c r="I57" s="2">
        <v>0</v>
      </c>
      <c r="J57" s="2">
        <v>72.08</v>
      </c>
      <c r="K57" s="2">
        <v>0</v>
      </c>
      <c r="L57" s="3">
        <v>251</v>
      </c>
      <c r="M57" s="3">
        <v>14</v>
      </c>
      <c r="N57" s="2">
        <v>5.58</v>
      </c>
      <c r="O57" s="1" t="s">
        <v>20</v>
      </c>
    </row>
    <row r="58" spans="1:15" x14ac:dyDescent="0.25">
      <c r="A58" s="1" t="s">
        <v>78</v>
      </c>
      <c r="B58" s="3">
        <v>2034</v>
      </c>
      <c r="C58" s="3">
        <v>69</v>
      </c>
      <c r="D58" s="3">
        <v>1923</v>
      </c>
      <c r="E58" s="3">
        <v>42</v>
      </c>
      <c r="F58" s="3">
        <v>0</v>
      </c>
      <c r="G58" s="3">
        <v>0</v>
      </c>
      <c r="H58" s="3">
        <v>1</v>
      </c>
      <c r="I58" s="2">
        <v>3.39</v>
      </c>
      <c r="J58" s="2">
        <v>94.54</v>
      </c>
      <c r="K58" s="2">
        <v>3.59</v>
      </c>
      <c r="L58" s="3">
        <v>2021</v>
      </c>
      <c r="M58" s="3">
        <v>13</v>
      </c>
      <c r="N58" s="2">
        <v>0.64</v>
      </c>
      <c r="O58" s="1" t="s">
        <v>18</v>
      </c>
    </row>
    <row r="59" spans="1:15" x14ac:dyDescent="0.25">
      <c r="A59" s="1" t="s">
        <v>79</v>
      </c>
      <c r="B59" s="3">
        <v>2316</v>
      </c>
      <c r="C59" s="3">
        <v>34</v>
      </c>
      <c r="D59" s="3">
        <v>1025</v>
      </c>
      <c r="E59" s="3">
        <v>1257</v>
      </c>
      <c r="F59" s="3">
        <v>109</v>
      </c>
      <c r="G59" s="3">
        <v>2</v>
      </c>
      <c r="H59" s="3">
        <v>39</v>
      </c>
      <c r="I59" s="2">
        <v>1.47</v>
      </c>
      <c r="J59" s="2">
        <v>44.26</v>
      </c>
      <c r="K59" s="2">
        <v>3.32</v>
      </c>
      <c r="L59" s="3">
        <v>1826</v>
      </c>
      <c r="M59" s="3">
        <v>490</v>
      </c>
      <c r="N59" s="2">
        <v>26.83</v>
      </c>
      <c r="O59" s="1" t="s">
        <v>20</v>
      </c>
    </row>
    <row r="60" spans="1:15" x14ac:dyDescent="0.25">
      <c r="A60" s="1" t="s">
        <v>80</v>
      </c>
      <c r="B60" s="3">
        <v>14547</v>
      </c>
      <c r="C60" s="3">
        <v>228</v>
      </c>
      <c r="D60" s="3">
        <v>6386</v>
      </c>
      <c r="E60" s="3">
        <v>7933</v>
      </c>
      <c r="F60" s="3">
        <v>579</v>
      </c>
      <c r="G60" s="3">
        <v>5</v>
      </c>
      <c r="H60" s="3">
        <v>170</v>
      </c>
      <c r="I60" s="2">
        <v>1.57</v>
      </c>
      <c r="J60" s="2">
        <v>43.9</v>
      </c>
      <c r="K60" s="2">
        <v>3.57</v>
      </c>
      <c r="L60" s="3">
        <v>10207</v>
      </c>
      <c r="M60" s="3">
        <v>4340</v>
      </c>
      <c r="N60" s="2">
        <v>42.52</v>
      </c>
      <c r="O60" s="1" t="s">
        <v>20</v>
      </c>
    </row>
    <row r="61" spans="1:15" x14ac:dyDescent="0.25">
      <c r="A61" s="1" t="s">
        <v>81</v>
      </c>
      <c r="B61" s="3">
        <v>27</v>
      </c>
      <c r="C61" s="3">
        <v>0</v>
      </c>
      <c r="D61" s="3">
        <v>18</v>
      </c>
      <c r="E61" s="3">
        <v>9</v>
      </c>
      <c r="F61" s="3">
        <v>0</v>
      </c>
      <c r="G61" s="3">
        <v>0</v>
      </c>
      <c r="H61" s="3">
        <v>0</v>
      </c>
      <c r="I61" s="2">
        <v>0</v>
      </c>
      <c r="J61" s="2">
        <v>66.67</v>
      </c>
      <c r="K61" s="2">
        <v>0</v>
      </c>
      <c r="L61" s="3">
        <v>27</v>
      </c>
      <c r="M61" s="3">
        <v>0</v>
      </c>
      <c r="N61" s="2">
        <v>0</v>
      </c>
      <c r="O61" s="1" t="s">
        <v>28</v>
      </c>
    </row>
    <row r="62" spans="1:15" x14ac:dyDescent="0.25">
      <c r="A62" s="1" t="s">
        <v>82</v>
      </c>
      <c r="B62" s="3">
        <v>7398</v>
      </c>
      <c r="C62" s="3">
        <v>329</v>
      </c>
      <c r="D62" s="3">
        <v>6920</v>
      </c>
      <c r="E62" s="3">
        <v>149</v>
      </c>
      <c r="F62" s="3">
        <v>5</v>
      </c>
      <c r="G62" s="3">
        <v>0</v>
      </c>
      <c r="H62" s="3">
        <v>0</v>
      </c>
      <c r="I62" s="2">
        <v>4.45</v>
      </c>
      <c r="J62" s="2">
        <v>93.54</v>
      </c>
      <c r="K62" s="2">
        <v>4.75</v>
      </c>
      <c r="L62" s="3">
        <v>7340</v>
      </c>
      <c r="M62" s="3">
        <v>58</v>
      </c>
      <c r="N62" s="2">
        <v>0.79</v>
      </c>
      <c r="O62" s="1" t="s">
        <v>18</v>
      </c>
    </row>
    <row r="63" spans="1:15" x14ac:dyDescent="0.25">
      <c r="A63" s="1" t="s">
        <v>83</v>
      </c>
      <c r="B63" s="3">
        <v>220352</v>
      </c>
      <c r="C63" s="3">
        <v>30212</v>
      </c>
      <c r="D63" s="3">
        <v>81212</v>
      </c>
      <c r="E63" s="3">
        <v>108928</v>
      </c>
      <c r="F63" s="3">
        <v>2551</v>
      </c>
      <c r="G63" s="3">
        <v>17</v>
      </c>
      <c r="H63" s="3">
        <v>267</v>
      </c>
      <c r="I63" s="2">
        <v>13.71</v>
      </c>
      <c r="J63" s="2">
        <v>36.86</v>
      </c>
      <c r="K63" s="2">
        <v>37.200000000000003</v>
      </c>
      <c r="L63" s="3">
        <v>214023</v>
      </c>
      <c r="M63" s="3">
        <v>6329</v>
      </c>
      <c r="N63" s="2">
        <v>2.96</v>
      </c>
      <c r="O63" s="1" t="s">
        <v>18</v>
      </c>
    </row>
    <row r="64" spans="1:15" x14ac:dyDescent="0.25">
      <c r="A64" s="1" t="s">
        <v>84</v>
      </c>
      <c r="B64" s="3">
        <v>7189</v>
      </c>
      <c r="C64" s="3">
        <v>49</v>
      </c>
      <c r="D64" s="3">
        <v>4682</v>
      </c>
      <c r="E64" s="3">
        <v>2458</v>
      </c>
      <c r="F64" s="3">
        <v>205</v>
      </c>
      <c r="G64" s="3">
        <v>0</v>
      </c>
      <c r="H64" s="3">
        <v>219</v>
      </c>
      <c r="I64" s="2">
        <v>0.68</v>
      </c>
      <c r="J64" s="2">
        <v>65.13</v>
      </c>
      <c r="K64" s="2">
        <v>1.05</v>
      </c>
      <c r="L64" s="3">
        <v>6433</v>
      </c>
      <c r="M64" s="3">
        <v>756</v>
      </c>
      <c r="N64" s="2">
        <v>11.75</v>
      </c>
      <c r="O64" s="1" t="s">
        <v>20</v>
      </c>
    </row>
    <row r="65" spans="1:15" x14ac:dyDescent="0.25">
      <c r="A65" s="1" t="s">
        <v>85</v>
      </c>
      <c r="B65" s="3">
        <v>326</v>
      </c>
      <c r="C65" s="3">
        <v>8</v>
      </c>
      <c r="D65" s="3">
        <v>66</v>
      </c>
      <c r="E65" s="3">
        <v>252</v>
      </c>
      <c r="F65" s="3">
        <v>49</v>
      </c>
      <c r="G65" s="3">
        <v>2</v>
      </c>
      <c r="H65" s="3">
        <v>6</v>
      </c>
      <c r="I65" s="2">
        <v>2.4500000000000002</v>
      </c>
      <c r="J65" s="2">
        <v>20.25</v>
      </c>
      <c r="K65" s="2">
        <v>12.12</v>
      </c>
      <c r="L65" s="3">
        <v>112</v>
      </c>
      <c r="M65" s="3">
        <v>214</v>
      </c>
      <c r="N65" s="2">
        <v>191.07</v>
      </c>
      <c r="O65" s="1" t="s">
        <v>20</v>
      </c>
    </row>
    <row r="66" spans="1:15" x14ac:dyDescent="0.25">
      <c r="A66" s="1" t="s">
        <v>86</v>
      </c>
      <c r="B66" s="3">
        <v>1137</v>
      </c>
      <c r="C66" s="3">
        <v>16</v>
      </c>
      <c r="D66" s="3">
        <v>922</v>
      </c>
      <c r="E66" s="3">
        <v>199</v>
      </c>
      <c r="F66" s="3">
        <v>6</v>
      </c>
      <c r="G66" s="3">
        <v>0</v>
      </c>
      <c r="H66" s="3">
        <v>2</v>
      </c>
      <c r="I66" s="2">
        <v>1.41</v>
      </c>
      <c r="J66" s="2">
        <v>81.09</v>
      </c>
      <c r="K66" s="2">
        <v>1.74</v>
      </c>
      <c r="L66" s="3">
        <v>1039</v>
      </c>
      <c r="M66" s="3">
        <v>98</v>
      </c>
      <c r="N66" s="2">
        <v>9.43</v>
      </c>
      <c r="O66" s="1" t="s">
        <v>18</v>
      </c>
    </row>
    <row r="67" spans="1:15" x14ac:dyDescent="0.25">
      <c r="A67" s="1" t="s">
        <v>87</v>
      </c>
      <c r="B67" s="3">
        <v>207112</v>
      </c>
      <c r="C67" s="3">
        <v>9125</v>
      </c>
      <c r="D67" s="3">
        <v>190314</v>
      </c>
      <c r="E67" s="3">
        <v>7673</v>
      </c>
      <c r="F67" s="3">
        <v>445</v>
      </c>
      <c r="G67" s="3">
        <v>1</v>
      </c>
      <c r="H67" s="3">
        <v>259</v>
      </c>
      <c r="I67" s="2">
        <v>4.41</v>
      </c>
      <c r="J67" s="2">
        <v>91.89</v>
      </c>
      <c r="K67" s="2">
        <v>4.79</v>
      </c>
      <c r="L67" s="3">
        <v>203325</v>
      </c>
      <c r="M67" s="3">
        <v>3787</v>
      </c>
      <c r="N67" s="2">
        <v>1.86</v>
      </c>
      <c r="O67" s="1" t="s">
        <v>18</v>
      </c>
    </row>
    <row r="68" spans="1:15" x14ac:dyDescent="0.25">
      <c r="A68" s="1" t="s">
        <v>88</v>
      </c>
      <c r="B68" s="3">
        <v>33624</v>
      </c>
      <c r="C68" s="3">
        <v>168</v>
      </c>
      <c r="D68" s="3">
        <v>29801</v>
      </c>
      <c r="E68" s="3">
        <v>3655</v>
      </c>
      <c r="F68" s="3">
        <v>655</v>
      </c>
      <c r="G68" s="3">
        <v>0</v>
      </c>
      <c r="H68" s="3">
        <v>307</v>
      </c>
      <c r="I68" s="2">
        <v>0.5</v>
      </c>
      <c r="J68" s="2">
        <v>88.63</v>
      </c>
      <c r="K68" s="2">
        <v>0.56000000000000005</v>
      </c>
      <c r="L68" s="3">
        <v>28430</v>
      </c>
      <c r="M68" s="3">
        <v>5194</v>
      </c>
      <c r="N68" s="2">
        <v>18.27</v>
      </c>
      <c r="O68" s="1" t="s">
        <v>20</v>
      </c>
    </row>
    <row r="69" spans="1:15" x14ac:dyDescent="0.25">
      <c r="A69" s="1" t="s">
        <v>89</v>
      </c>
      <c r="B69" s="3">
        <v>4227</v>
      </c>
      <c r="C69" s="3">
        <v>202</v>
      </c>
      <c r="D69" s="3">
        <v>1374</v>
      </c>
      <c r="E69" s="3">
        <v>2651</v>
      </c>
      <c r="F69" s="3">
        <v>34</v>
      </c>
      <c r="G69" s="3">
        <v>0</v>
      </c>
      <c r="H69" s="3">
        <v>0</v>
      </c>
      <c r="I69" s="2">
        <v>4.78</v>
      </c>
      <c r="J69" s="2">
        <v>32.51</v>
      </c>
      <c r="K69" s="2">
        <v>14.7</v>
      </c>
      <c r="L69" s="3">
        <v>4012</v>
      </c>
      <c r="M69" s="3">
        <v>215</v>
      </c>
      <c r="N69" s="2">
        <v>5.36</v>
      </c>
      <c r="O69" s="1" t="s">
        <v>18</v>
      </c>
    </row>
    <row r="70" spans="1:15" x14ac:dyDescent="0.25">
      <c r="A70" s="1" t="s">
        <v>90</v>
      </c>
      <c r="B70" s="3">
        <v>14</v>
      </c>
      <c r="C70" s="3">
        <v>0</v>
      </c>
      <c r="D70" s="3">
        <v>13</v>
      </c>
      <c r="E70" s="3">
        <v>1</v>
      </c>
      <c r="F70" s="3">
        <v>1</v>
      </c>
      <c r="G70" s="3">
        <v>0</v>
      </c>
      <c r="H70" s="3">
        <v>0</v>
      </c>
      <c r="I70" s="2">
        <v>0</v>
      </c>
      <c r="J70" s="2">
        <v>92.86</v>
      </c>
      <c r="K70" s="2">
        <v>0</v>
      </c>
      <c r="L70" s="3">
        <v>13</v>
      </c>
      <c r="M70" s="3">
        <v>1</v>
      </c>
      <c r="N70" s="2">
        <v>7.69</v>
      </c>
      <c r="O70" s="1" t="s">
        <v>18</v>
      </c>
    </row>
    <row r="71" spans="1:15" x14ac:dyDescent="0.25">
      <c r="A71" s="1" t="s">
        <v>91</v>
      </c>
      <c r="B71" s="3">
        <v>23</v>
      </c>
      <c r="C71" s="3">
        <v>0</v>
      </c>
      <c r="D71" s="3">
        <v>23</v>
      </c>
      <c r="E71" s="3">
        <v>0</v>
      </c>
      <c r="F71" s="3">
        <v>0</v>
      </c>
      <c r="G71" s="3">
        <v>0</v>
      </c>
      <c r="H71" s="3">
        <v>0</v>
      </c>
      <c r="I71" s="2">
        <v>0</v>
      </c>
      <c r="J71" s="2">
        <v>100</v>
      </c>
      <c r="K71" s="2">
        <v>0</v>
      </c>
      <c r="L71" s="3">
        <v>23</v>
      </c>
      <c r="M71" s="3">
        <v>0</v>
      </c>
      <c r="N71" s="2">
        <v>0</v>
      </c>
      <c r="O71" s="1" t="s">
        <v>24</v>
      </c>
    </row>
    <row r="72" spans="1:15" x14ac:dyDescent="0.25">
      <c r="A72" s="1" t="s">
        <v>92</v>
      </c>
      <c r="B72" s="3">
        <v>45309</v>
      </c>
      <c r="C72" s="3">
        <v>1761</v>
      </c>
      <c r="D72" s="3">
        <v>32455</v>
      </c>
      <c r="E72" s="3">
        <v>11093</v>
      </c>
      <c r="F72" s="3">
        <v>256</v>
      </c>
      <c r="G72" s="3">
        <v>27</v>
      </c>
      <c r="H72" s="3">
        <v>843</v>
      </c>
      <c r="I72" s="2">
        <v>3.89</v>
      </c>
      <c r="J72" s="2">
        <v>71.63</v>
      </c>
      <c r="K72" s="2">
        <v>5.43</v>
      </c>
      <c r="L72" s="3">
        <v>39039</v>
      </c>
      <c r="M72" s="3">
        <v>6270</v>
      </c>
      <c r="N72" s="2">
        <v>16.059999999999999</v>
      </c>
      <c r="O72" s="1" t="s">
        <v>24</v>
      </c>
    </row>
    <row r="73" spans="1:15" x14ac:dyDescent="0.25">
      <c r="A73" s="1" t="s">
        <v>93</v>
      </c>
      <c r="B73" s="3">
        <v>7055</v>
      </c>
      <c r="C73" s="3">
        <v>45</v>
      </c>
      <c r="D73" s="3">
        <v>6257</v>
      </c>
      <c r="E73" s="3">
        <v>753</v>
      </c>
      <c r="F73" s="3">
        <v>47</v>
      </c>
      <c r="G73" s="3">
        <v>2</v>
      </c>
      <c r="H73" s="3">
        <v>105</v>
      </c>
      <c r="I73" s="2">
        <v>0.64</v>
      </c>
      <c r="J73" s="2">
        <v>88.69</v>
      </c>
      <c r="K73" s="2">
        <v>0.72</v>
      </c>
      <c r="L73" s="3">
        <v>6590</v>
      </c>
      <c r="M73" s="3">
        <v>465</v>
      </c>
      <c r="N73" s="2">
        <v>7.06</v>
      </c>
      <c r="O73" s="1" t="s">
        <v>20</v>
      </c>
    </row>
    <row r="74" spans="1:15" x14ac:dyDescent="0.25">
      <c r="A74" s="1" t="s">
        <v>94</v>
      </c>
      <c r="B74" s="3">
        <v>1954</v>
      </c>
      <c r="C74" s="3">
        <v>26</v>
      </c>
      <c r="D74" s="3">
        <v>803</v>
      </c>
      <c r="E74" s="3">
        <v>1125</v>
      </c>
      <c r="F74" s="3">
        <v>0</v>
      </c>
      <c r="G74" s="3">
        <v>0</v>
      </c>
      <c r="H74" s="3">
        <v>0</v>
      </c>
      <c r="I74" s="2">
        <v>1.33</v>
      </c>
      <c r="J74" s="2">
        <v>41.1</v>
      </c>
      <c r="K74" s="2">
        <v>3.24</v>
      </c>
      <c r="L74" s="3">
        <v>1949</v>
      </c>
      <c r="M74" s="3">
        <v>5</v>
      </c>
      <c r="N74" s="2">
        <v>0.26</v>
      </c>
      <c r="O74" s="1" t="s">
        <v>20</v>
      </c>
    </row>
    <row r="75" spans="1:15" x14ac:dyDescent="0.25">
      <c r="A75" s="1" t="s">
        <v>95</v>
      </c>
      <c r="B75" s="3">
        <v>389</v>
      </c>
      <c r="C75" s="3">
        <v>20</v>
      </c>
      <c r="D75" s="3">
        <v>181</v>
      </c>
      <c r="E75" s="3">
        <v>188</v>
      </c>
      <c r="F75" s="3">
        <v>19</v>
      </c>
      <c r="G75" s="3">
        <v>0</v>
      </c>
      <c r="H75" s="3">
        <v>0</v>
      </c>
      <c r="I75" s="2">
        <v>5.14</v>
      </c>
      <c r="J75" s="2">
        <v>46.53</v>
      </c>
      <c r="K75" s="2">
        <v>11.05</v>
      </c>
      <c r="L75" s="3">
        <v>337</v>
      </c>
      <c r="M75" s="3">
        <v>52</v>
      </c>
      <c r="N75" s="2">
        <v>15.43</v>
      </c>
      <c r="O75" s="1" t="s">
        <v>24</v>
      </c>
    </row>
    <row r="76" spans="1:15" x14ac:dyDescent="0.25">
      <c r="A76" s="1" t="s">
        <v>96</v>
      </c>
      <c r="B76" s="3">
        <v>7340</v>
      </c>
      <c r="C76" s="3">
        <v>158</v>
      </c>
      <c r="D76" s="3">
        <v>4365</v>
      </c>
      <c r="E76" s="3">
        <v>2817</v>
      </c>
      <c r="F76" s="3">
        <v>25</v>
      </c>
      <c r="G76" s="3">
        <v>1</v>
      </c>
      <c r="H76" s="3">
        <v>0</v>
      </c>
      <c r="I76" s="2">
        <v>2.15</v>
      </c>
      <c r="J76" s="2">
        <v>59.47</v>
      </c>
      <c r="K76" s="2">
        <v>3.62</v>
      </c>
      <c r="L76" s="3">
        <v>7053</v>
      </c>
      <c r="M76" s="3">
        <v>287</v>
      </c>
      <c r="N76" s="2">
        <v>4.07</v>
      </c>
      <c r="O76" s="1" t="s">
        <v>24</v>
      </c>
    </row>
    <row r="77" spans="1:15" x14ac:dyDescent="0.25">
      <c r="A77" s="1" t="s">
        <v>97</v>
      </c>
      <c r="B77" s="3">
        <v>12</v>
      </c>
      <c r="C77" s="3">
        <v>0</v>
      </c>
      <c r="D77" s="3">
        <v>12</v>
      </c>
      <c r="E77" s="3">
        <v>0</v>
      </c>
      <c r="F77" s="3">
        <v>0</v>
      </c>
      <c r="G77" s="3">
        <v>0</v>
      </c>
      <c r="H77" s="3">
        <v>0</v>
      </c>
      <c r="I77" s="2">
        <v>0</v>
      </c>
      <c r="J77" s="2">
        <v>100</v>
      </c>
      <c r="K77" s="2">
        <v>0</v>
      </c>
      <c r="L77" s="3">
        <v>12</v>
      </c>
      <c r="M77" s="3">
        <v>0</v>
      </c>
      <c r="N77" s="2">
        <v>0</v>
      </c>
      <c r="O77" s="1" t="s">
        <v>18</v>
      </c>
    </row>
    <row r="78" spans="1:15" x14ac:dyDescent="0.25">
      <c r="A78" s="1" t="s">
        <v>98</v>
      </c>
      <c r="B78" s="3">
        <v>39741</v>
      </c>
      <c r="C78" s="3">
        <v>1166</v>
      </c>
      <c r="D78" s="3">
        <v>5039</v>
      </c>
      <c r="E78" s="3">
        <v>33536</v>
      </c>
      <c r="F78" s="3">
        <v>465</v>
      </c>
      <c r="G78" s="3">
        <v>50</v>
      </c>
      <c r="H78" s="3">
        <v>117</v>
      </c>
      <c r="I78" s="2">
        <v>2.93</v>
      </c>
      <c r="J78" s="2">
        <v>12.68</v>
      </c>
      <c r="K78" s="2">
        <v>23.14</v>
      </c>
      <c r="L78" s="3">
        <v>34611</v>
      </c>
      <c r="M78" s="3">
        <v>5130</v>
      </c>
      <c r="N78" s="2">
        <v>14.82</v>
      </c>
      <c r="O78" s="1" t="s">
        <v>24</v>
      </c>
    </row>
    <row r="79" spans="1:15" x14ac:dyDescent="0.25">
      <c r="A79" s="1" t="s">
        <v>99</v>
      </c>
      <c r="B79" s="3">
        <v>4448</v>
      </c>
      <c r="C79" s="3">
        <v>596</v>
      </c>
      <c r="D79" s="3">
        <v>3329</v>
      </c>
      <c r="E79" s="3">
        <v>523</v>
      </c>
      <c r="F79" s="3">
        <v>13</v>
      </c>
      <c r="G79" s="3">
        <v>0</v>
      </c>
      <c r="H79" s="3">
        <v>0</v>
      </c>
      <c r="I79" s="2">
        <v>13.4</v>
      </c>
      <c r="J79" s="2">
        <v>74.84</v>
      </c>
      <c r="K79" s="2">
        <v>17.899999999999999</v>
      </c>
      <c r="L79" s="3">
        <v>4339</v>
      </c>
      <c r="M79" s="3">
        <v>109</v>
      </c>
      <c r="N79" s="2">
        <v>2.5099999999999998</v>
      </c>
      <c r="O79" s="1" t="s">
        <v>18</v>
      </c>
    </row>
    <row r="80" spans="1:15" x14ac:dyDescent="0.25">
      <c r="A80" s="1" t="s">
        <v>100</v>
      </c>
      <c r="B80" s="3">
        <v>1854</v>
      </c>
      <c r="C80" s="3">
        <v>10</v>
      </c>
      <c r="D80" s="3">
        <v>1823</v>
      </c>
      <c r="E80" s="3">
        <v>21</v>
      </c>
      <c r="F80" s="3">
        <v>7</v>
      </c>
      <c r="G80" s="3">
        <v>0</v>
      </c>
      <c r="H80" s="3">
        <v>0</v>
      </c>
      <c r="I80" s="2">
        <v>0.54</v>
      </c>
      <c r="J80" s="2">
        <v>98.33</v>
      </c>
      <c r="K80" s="2">
        <v>0.55000000000000004</v>
      </c>
      <c r="L80" s="3">
        <v>1839</v>
      </c>
      <c r="M80" s="3">
        <v>15</v>
      </c>
      <c r="N80" s="2">
        <v>0.82</v>
      </c>
      <c r="O80" s="1" t="s">
        <v>18</v>
      </c>
    </row>
    <row r="81" spans="1:15" x14ac:dyDescent="0.25">
      <c r="A81" s="1" t="s">
        <v>101</v>
      </c>
      <c r="B81" s="3">
        <v>1480073</v>
      </c>
      <c r="C81" s="3">
        <v>33408</v>
      </c>
      <c r="D81" s="3">
        <v>951166</v>
      </c>
      <c r="E81" s="3">
        <v>495499</v>
      </c>
      <c r="F81" s="3">
        <v>44457</v>
      </c>
      <c r="G81" s="3">
        <v>637</v>
      </c>
      <c r="H81" s="3">
        <v>33598</v>
      </c>
      <c r="I81" s="2">
        <v>2.2599999999999998</v>
      </c>
      <c r="J81" s="2">
        <v>64.260000000000005</v>
      </c>
      <c r="K81" s="2">
        <v>3.51</v>
      </c>
      <c r="L81" s="3">
        <v>1155338</v>
      </c>
      <c r="M81" s="3">
        <v>324735</v>
      </c>
      <c r="N81" s="2">
        <v>28.11</v>
      </c>
      <c r="O81" s="1" t="s">
        <v>34</v>
      </c>
    </row>
    <row r="82" spans="1:15" x14ac:dyDescent="0.25">
      <c r="A82" s="1" t="s">
        <v>102</v>
      </c>
      <c r="B82" s="3">
        <v>100303</v>
      </c>
      <c r="C82" s="3">
        <v>4838</v>
      </c>
      <c r="D82" s="3">
        <v>58173</v>
      </c>
      <c r="E82" s="3">
        <v>37292</v>
      </c>
      <c r="F82" s="3">
        <v>1525</v>
      </c>
      <c r="G82" s="3">
        <v>57</v>
      </c>
      <c r="H82" s="3">
        <v>1518</v>
      </c>
      <c r="I82" s="2">
        <v>4.82</v>
      </c>
      <c r="J82" s="2">
        <v>58</v>
      </c>
      <c r="K82" s="2">
        <v>8.32</v>
      </c>
      <c r="L82" s="3">
        <v>88214</v>
      </c>
      <c r="M82" s="3">
        <v>12089</v>
      </c>
      <c r="N82" s="2">
        <v>13.7</v>
      </c>
      <c r="O82" s="1" t="s">
        <v>34</v>
      </c>
    </row>
    <row r="83" spans="1:15" x14ac:dyDescent="0.25">
      <c r="A83" s="1" t="s">
        <v>103</v>
      </c>
      <c r="B83" s="3">
        <v>293606</v>
      </c>
      <c r="C83" s="3">
        <v>15912</v>
      </c>
      <c r="D83" s="3">
        <v>255144</v>
      </c>
      <c r="E83" s="3">
        <v>22550</v>
      </c>
      <c r="F83" s="3">
        <v>2434</v>
      </c>
      <c r="G83" s="3">
        <v>212</v>
      </c>
      <c r="H83" s="3">
        <v>1931</v>
      </c>
      <c r="I83" s="2">
        <v>5.42</v>
      </c>
      <c r="J83" s="2">
        <v>86.9</v>
      </c>
      <c r="K83" s="2">
        <v>6.24</v>
      </c>
      <c r="L83" s="3">
        <v>276202</v>
      </c>
      <c r="M83" s="3">
        <v>17404</v>
      </c>
      <c r="N83" s="2">
        <v>6.3</v>
      </c>
      <c r="O83" s="1" t="s">
        <v>16</v>
      </c>
    </row>
    <row r="84" spans="1:15" x14ac:dyDescent="0.25">
      <c r="A84" s="1" t="s">
        <v>104</v>
      </c>
      <c r="B84" s="3">
        <v>112585</v>
      </c>
      <c r="C84" s="3">
        <v>4458</v>
      </c>
      <c r="D84" s="3">
        <v>77144</v>
      </c>
      <c r="E84" s="3">
        <v>30983</v>
      </c>
      <c r="F84" s="3">
        <v>2553</v>
      </c>
      <c r="G84" s="3">
        <v>96</v>
      </c>
      <c r="H84" s="3">
        <v>1927</v>
      </c>
      <c r="I84" s="2">
        <v>3.96</v>
      </c>
      <c r="J84" s="2">
        <v>68.52</v>
      </c>
      <c r="K84" s="2">
        <v>5.78</v>
      </c>
      <c r="L84" s="3">
        <v>94693</v>
      </c>
      <c r="M84" s="3">
        <v>17892</v>
      </c>
      <c r="N84" s="2">
        <v>18.89</v>
      </c>
      <c r="O84" s="1" t="s">
        <v>16</v>
      </c>
    </row>
    <row r="85" spans="1:15" x14ac:dyDescent="0.25">
      <c r="A85" s="1" t="s">
        <v>105</v>
      </c>
      <c r="B85" s="3">
        <v>25892</v>
      </c>
      <c r="C85" s="3">
        <v>1764</v>
      </c>
      <c r="D85" s="3">
        <v>23364</v>
      </c>
      <c r="E85" s="3">
        <v>764</v>
      </c>
      <c r="F85" s="3">
        <v>11</v>
      </c>
      <c r="G85" s="3">
        <v>0</v>
      </c>
      <c r="H85" s="3">
        <v>0</v>
      </c>
      <c r="I85" s="2">
        <v>6.81</v>
      </c>
      <c r="J85" s="2">
        <v>90.24</v>
      </c>
      <c r="K85" s="2">
        <v>7.55</v>
      </c>
      <c r="L85" s="3">
        <v>25766</v>
      </c>
      <c r="M85" s="3">
        <v>126</v>
      </c>
      <c r="N85" s="2">
        <v>0.49</v>
      </c>
      <c r="O85" s="1" t="s">
        <v>18</v>
      </c>
    </row>
    <row r="86" spans="1:15" x14ac:dyDescent="0.25">
      <c r="A86" s="1" t="s">
        <v>106</v>
      </c>
      <c r="B86" s="3">
        <v>63985</v>
      </c>
      <c r="C86" s="3">
        <v>474</v>
      </c>
      <c r="D86" s="3">
        <v>27133</v>
      </c>
      <c r="E86" s="3">
        <v>36378</v>
      </c>
      <c r="F86" s="3">
        <v>2029</v>
      </c>
      <c r="G86" s="3">
        <v>4</v>
      </c>
      <c r="H86" s="3">
        <v>108</v>
      </c>
      <c r="I86" s="2">
        <v>0.74</v>
      </c>
      <c r="J86" s="2">
        <v>42.41</v>
      </c>
      <c r="K86" s="2">
        <v>1.75</v>
      </c>
      <c r="L86" s="3">
        <v>52003</v>
      </c>
      <c r="M86" s="3">
        <v>11982</v>
      </c>
      <c r="N86" s="2">
        <v>23.04</v>
      </c>
      <c r="O86" s="1" t="s">
        <v>18</v>
      </c>
    </row>
    <row r="87" spans="1:15" x14ac:dyDescent="0.25">
      <c r="A87" s="1" t="s">
        <v>107</v>
      </c>
      <c r="B87" s="3">
        <v>246286</v>
      </c>
      <c r="C87" s="3">
        <v>35112</v>
      </c>
      <c r="D87" s="3">
        <v>198593</v>
      </c>
      <c r="E87" s="3">
        <v>12581</v>
      </c>
      <c r="F87" s="3">
        <v>168</v>
      </c>
      <c r="G87" s="3">
        <v>5</v>
      </c>
      <c r="H87" s="3">
        <v>147</v>
      </c>
      <c r="I87" s="2">
        <v>14.26</v>
      </c>
      <c r="J87" s="2">
        <v>80.64</v>
      </c>
      <c r="K87" s="2">
        <v>17.68</v>
      </c>
      <c r="L87" s="3">
        <v>244624</v>
      </c>
      <c r="M87" s="3">
        <v>1662</v>
      </c>
      <c r="N87" s="2">
        <v>0.68</v>
      </c>
      <c r="O87" s="1" t="s">
        <v>18</v>
      </c>
    </row>
    <row r="88" spans="1:15" x14ac:dyDescent="0.25">
      <c r="A88" s="1" t="s">
        <v>108</v>
      </c>
      <c r="B88" s="3">
        <v>853</v>
      </c>
      <c r="C88" s="3">
        <v>10</v>
      </c>
      <c r="D88" s="3">
        <v>714</v>
      </c>
      <c r="E88" s="3">
        <v>129</v>
      </c>
      <c r="F88" s="3">
        <v>11</v>
      </c>
      <c r="G88" s="3">
        <v>0</v>
      </c>
      <c r="H88" s="3">
        <v>0</v>
      </c>
      <c r="I88" s="2">
        <v>1.17</v>
      </c>
      <c r="J88" s="2">
        <v>83.7</v>
      </c>
      <c r="K88" s="2">
        <v>1.4</v>
      </c>
      <c r="L88" s="3">
        <v>809</v>
      </c>
      <c r="M88" s="3">
        <v>44</v>
      </c>
      <c r="N88" s="2">
        <v>5.44</v>
      </c>
      <c r="O88" s="1" t="s">
        <v>24</v>
      </c>
    </row>
    <row r="89" spans="1:15" x14ac:dyDescent="0.25">
      <c r="A89" s="1" t="s">
        <v>109</v>
      </c>
      <c r="B89" s="3">
        <v>31142</v>
      </c>
      <c r="C89" s="3">
        <v>998</v>
      </c>
      <c r="D89" s="3">
        <v>21970</v>
      </c>
      <c r="E89" s="3">
        <v>8174</v>
      </c>
      <c r="F89" s="3">
        <v>594</v>
      </c>
      <c r="G89" s="3">
        <v>0</v>
      </c>
      <c r="H89" s="3">
        <v>364</v>
      </c>
      <c r="I89" s="2">
        <v>3.2</v>
      </c>
      <c r="J89" s="2">
        <v>70.55</v>
      </c>
      <c r="K89" s="2">
        <v>4.54</v>
      </c>
      <c r="L89" s="3">
        <v>25706</v>
      </c>
      <c r="M89" s="3">
        <v>5436</v>
      </c>
      <c r="N89" s="2">
        <v>21.15</v>
      </c>
      <c r="O89" s="1" t="s">
        <v>28</v>
      </c>
    </row>
    <row r="90" spans="1:15" x14ac:dyDescent="0.25">
      <c r="A90" s="1" t="s">
        <v>110</v>
      </c>
      <c r="B90" s="3">
        <v>1176</v>
      </c>
      <c r="C90" s="3">
        <v>11</v>
      </c>
      <c r="D90" s="3">
        <v>1041</v>
      </c>
      <c r="E90" s="3">
        <v>124</v>
      </c>
      <c r="F90" s="3">
        <v>8</v>
      </c>
      <c r="G90" s="3">
        <v>0</v>
      </c>
      <c r="H90" s="3">
        <v>0</v>
      </c>
      <c r="I90" s="2">
        <v>0.94</v>
      </c>
      <c r="J90" s="2">
        <v>88.52</v>
      </c>
      <c r="K90" s="2">
        <v>1.06</v>
      </c>
      <c r="L90" s="3">
        <v>1223</v>
      </c>
      <c r="M90" s="3">
        <v>-47</v>
      </c>
      <c r="N90" s="2">
        <v>-3.84</v>
      </c>
      <c r="O90" s="1" t="s">
        <v>16</v>
      </c>
    </row>
    <row r="91" spans="1:15" x14ac:dyDescent="0.25">
      <c r="A91" s="1" t="s">
        <v>111</v>
      </c>
      <c r="B91" s="3">
        <v>84648</v>
      </c>
      <c r="C91" s="3">
        <v>585</v>
      </c>
      <c r="D91" s="3">
        <v>54404</v>
      </c>
      <c r="E91" s="3">
        <v>29659</v>
      </c>
      <c r="F91" s="3">
        <v>1526</v>
      </c>
      <c r="G91" s="3">
        <v>0</v>
      </c>
      <c r="H91" s="3">
        <v>1833</v>
      </c>
      <c r="I91" s="2">
        <v>0.69</v>
      </c>
      <c r="J91" s="2">
        <v>64.27</v>
      </c>
      <c r="K91" s="2">
        <v>1.08</v>
      </c>
      <c r="L91" s="3">
        <v>73468</v>
      </c>
      <c r="M91" s="3">
        <v>11180</v>
      </c>
      <c r="N91" s="2">
        <v>15.22</v>
      </c>
      <c r="O91" s="1" t="s">
        <v>18</v>
      </c>
    </row>
    <row r="92" spans="1:15" x14ac:dyDescent="0.25">
      <c r="A92" s="1" t="s">
        <v>112</v>
      </c>
      <c r="B92" s="3">
        <v>17975</v>
      </c>
      <c r="C92" s="3">
        <v>285</v>
      </c>
      <c r="D92" s="3">
        <v>7833</v>
      </c>
      <c r="E92" s="3">
        <v>9857</v>
      </c>
      <c r="F92" s="3">
        <v>372</v>
      </c>
      <c r="G92" s="3">
        <v>5</v>
      </c>
      <c r="H92" s="3">
        <v>90</v>
      </c>
      <c r="I92" s="2">
        <v>1.59</v>
      </c>
      <c r="J92" s="2">
        <v>43.58</v>
      </c>
      <c r="K92" s="2">
        <v>3.64</v>
      </c>
      <c r="L92" s="3">
        <v>13771</v>
      </c>
      <c r="M92" s="3">
        <v>4204</v>
      </c>
      <c r="N92" s="2">
        <v>30.53</v>
      </c>
      <c r="O92" s="1" t="s">
        <v>20</v>
      </c>
    </row>
    <row r="93" spans="1:15" x14ac:dyDescent="0.25">
      <c r="A93" s="1" t="s">
        <v>113</v>
      </c>
      <c r="B93" s="3">
        <v>7413</v>
      </c>
      <c r="C93" s="3">
        <v>185</v>
      </c>
      <c r="D93" s="3">
        <v>4027</v>
      </c>
      <c r="E93" s="3">
        <v>3201</v>
      </c>
      <c r="F93" s="3">
        <v>496</v>
      </c>
      <c r="G93" s="3">
        <v>16</v>
      </c>
      <c r="H93" s="3">
        <v>274</v>
      </c>
      <c r="I93" s="2">
        <v>2.5</v>
      </c>
      <c r="J93" s="2">
        <v>54.32</v>
      </c>
      <c r="K93" s="2">
        <v>4.59</v>
      </c>
      <c r="L93" s="3">
        <v>5877</v>
      </c>
      <c r="M93" s="3">
        <v>1536</v>
      </c>
      <c r="N93" s="2">
        <v>26.14</v>
      </c>
      <c r="O93" s="1" t="s">
        <v>18</v>
      </c>
    </row>
    <row r="94" spans="1:15" x14ac:dyDescent="0.25">
      <c r="A94" s="1" t="s">
        <v>114</v>
      </c>
      <c r="B94" s="3">
        <v>64379</v>
      </c>
      <c r="C94" s="3">
        <v>438</v>
      </c>
      <c r="D94" s="3">
        <v>55057</v>
      </c>
      <c r="E94" s="3">
        <v>8884</v>
      </c>
      <c r="F94" s="3">
        <v>606</v>
      </c>
      <c r="G94" s="3">
        <v>5</v>
      </c>
      <c r="H94" s="3">
        <v>684</v>
      </c>
      <c r="I94" s="2">
        <v>0.68</v>
      </c>
      <c r="J94" s="2">
        <v>85.52</v>
      </c>
      <c r="K94" s="2">
        <v>0.8</v>
      </c>
      <c r="L94" s="3">
        <v>59763</v>
      </c>
      <c r="M94" s="3">
        <v>4616</v>
      </c>
      <c r="N94" s="2">
        <v>7.72</v>
      </c>
      <c r="O94" s="1" t="s">
        <v>16</v>
      </c>
    </row>
    <row r="95" spans="1:15" x14ac:dyDescent="0.25">
      <c r="A95" s="1" t="s">
        <v>115</v>
      </c>
      <c r="B95" s="3">
        <v>33296</v>
      </c>
      <c r="C95" s="3">
        <v>1301</v>
      </c>
      <c r="D95" s="3">
        <v>21205</v>
      </c>
      <c r="E95" s="3">
        <v>10790</v>
      </c>
      <c r="F95" s="3">
        <v>483</v>
      </c>
      <c r="G95" s="3">
        <v>24</v>
      </c>
      <c r="H95" s="3">
        <v>817</v>
      </c>
      <c r="I95" s="2">
        <v>3.91</v>
      </c>
      <c r="J95" s="2">
        <v>63.69</v>
      </c>
      <c r="K95" s="2">
        <v>6.14</v>
      </c>
      <c r="L95" s="3">
        <v>27143</v>
      </c>
      <c r="M95" s="3">
        <v>6153</v>
      </c>
      <c r="N95" s="2">
        <v>22.67</v>
      </c>
      <c r="O95" s="1" t="s">
        <v>18</v>
      </c>
    </row>
    <row r="96" spans="1:15" x14ac:dyDescent="0.25">
      <c r="A96" s="1" t="s">
        <v>116</v>
      </c>
      <c r="B96" s="3">
        <v>20</v>
      </c>
      <c r="C96" s="3">
        <v>0</v>
      </c>
      <c r="D96" s="3">
        <v>19</v>
      </c>
      <c r="E96" s="3">
        <v>1</v>
      </c>
      <c r="F96" s="3">
        <v>0</v>
      </c>
      <c r="G96" s="3">
        <v>0</v>
      </c>
      <c r="H96" s="3">
        <v>0</v>
      </c>
      <c r="I96" s="2">
        <v>0</v>
      </c>
      <c r="J96" s="2">
        <v>95</v>
      </c>
      <c r="K96" s="2">
        <v>0</v>
      </c>
      <c r="L96" s="3">
        <v>19</v>
      </c>
      <c r="M96" s="3">
        <v>1</v>
      </c>
      <c r="N96" s="2">
        <v>5.26</v>
      </c>
      <c r="O96" s="1" t="s">
        <v>28</v>
      </c>
    </row>
    <row r="97" spans="1:15" x14ac:dyDescent="0.25">
      <c r="A97" s="1" t="s">
        <v>117</v>
      </c>
      <c r="B97" s="3">
        <v>1219</v>
      </c>
      <c r="C97" s="3">
        <v>31</v>
      </c>
      <c r="D97" s="3">
        <v>1045</v>
      </c>
      <c r="E97" s="3">
        <v>143</v>
      </c>
      <c r="F97" s="3">
        <v>0</v>
      </c>
      <c r="G97" s="3">
        <v>0</v>
      </c>
      <c r="H97" s="3">
        <v>0</v>
      </c>
      <c r="I97" s="2">
        <v>2.54</v>
      </c>
      <c r="J97" s="2">
        <v>85.73</v>
      </c>
      <c r="K97" s="2">
        <v>2.97</v>
      </c>
      <c r="L97" s="3">
        <v>1192</v>
      </c>
      <c r="M97" s="3">
        <v>27</v>
      </c>
      <c r="N97" s="2">
        <v>2.27</v>
      </c>
      <c r="O97" s="1" t="s">
        <v>18</v>
      </c>
    </row>
    <row r="98" spans="1:15" x14ac:dyDescent="0.25">
      <c r="A98" s="1" t="s">
        <v>118</v>
      </c>
      <c r="B98" s="3">
        <v>3882</v>
      </c>
      <c r="C98" s="3">
        <v>51</v>
      </c>
      <c r="D98" s="3">
        <v>1709</v>
      </c>
      <c r="E98" s="3">
        <v>2122</v>
      </c>
      <c r="F98" s="3">
        <v>132</v>
      </c>
      <c r="G98" s="3">
        <v>0</v>
      </c>
      <c r="H98" s="3">
        <v>17</v>
      </c>
      <c r="I98" s="2">
        <v>1.31</v>
      </c>
      <c r="J98" s="2">
        <v>44.02</v>
      </c>
      <c r="K98" s="2">
        <v>2.98</v>
      </c>
      <c r="L98" s="3">
        <v>2905</v>
      </c>
      <c r="M98" s="3">
        <v>977</v>
      </c>
      <c r="N98" s="2">
        <v>33.630000000000003</v>
      </c>
      <c r="O98" s="1" t="s">
        <v>16</v>
      </c>
    </row>
    <row r="99" spans="1:15" x14ac:dyDescent="0.25">
      <c r="A99" s="1" t="s">
        <v>119</v>
      </c>
      <c r="B99" s="3">
        <v>505</v>
      </c>
      <c r="C99" s="3">
        <v>12</v>
      </c>
      <c r="D99" s="3">
        <v>128</v>
      </c>
      <c r="E99" s="3">
        <v>365</v>
      </c>
      <c r="F99" s="3">
        <v>0</v>
      </c>
      <c r="G99" s="3">
        <v>0</v>
      </c>
      <c r="H99" s="3">
        <v>0</v>
      </c>
      <c r="I99" s="2">
        <v>2.38</v>
      </c>
      <c r="J99" s="2">
        <v>25.35</v>
      </c>
      <c r="K99" s="2">
        <v>9.3800000000000008</v>
      </c>
      <c r="L99" s="3">
        <v>359</v>
      </c>
      <c r="M99" s="3">
        <v>146</v>
      </c>
      <c r="N99" s="2">
        <v>40.67</v>
      </c>
      <c r="O99" s="1" t="s">
        <v>20</v>
      </c>
    </row>
    <row r="100" spans="1:15" x14ac:dyDescent="0.25">
      <c r="A100" s="1" t="s">
        <v>120</v>
      </c>
      <c r="B100" s="3">
        <v>1167</v>
      </c>
      <c r="C100" s="3">
        <v>72</v>
      </c>
      <c r="D100" s="3">
        <v>646</v>
      </c>
      <c r="E100" s="3">
        <v>449</v>
      </c>
      <c r="F100" s="3">
        <v>5</v>
      </c>
      <c r="G100" s="3">
        <v>0</v>
      </c>
      <c r="H100" s="3">
        <v>5</v>
      </c>
      <c r="I100" s="2">
        <v>6.17</v>
      </c>
      <c r="J100" s="2">
        <v>55.36</v>
      </c>
      <c r="K100" s="2">
        <v>11.15</v>
      </c>
      <c r="L100" s="3">
        <v>1107</v>
      </c>
      <c r="M100" s="3">
        <v>60</v>
      </c>
      <c r="N100" s="2">
        <v>5.42</v>
      </c>
      <c r="O100" s="1" t="s">
        <v>20</v>
      </c>
    </row>
    <row r="101" spans="1:15" x14ac:dyDescent="0.25">
      <c r="A101" s="1" t="s">
        <v>121</v>
      </c>
      <c r="B101" s="3">
        <v>2827</v>
      </c>
      <c r="C101" s="3">
        <v>64</v>
      </c>
      <c r="D101" s="3">
        <v>577</v>
      </c>
      <c r="E101" s="3">
        <v>2186</v>
      </c>
      <c r="F101" s="3">
        <v>158</v>
      </c>
      <c r="G101" s="3">
        <v>4</v>
      </c>
      <c r="H101" s="3">
        <v>24</v>
      </c>
      <c r="I101" s="2">
        <v>2.2599999999999998</v>
      </c>
      <c r="J101" s="2">
        <v>20.41</v>
      </c>
      <c r="K101" s="2">
        <v>11.09</v>
      </c>
      <c r="L101" s="3">
        <v>1980</v>
      </c>
      <c r="M101" s="3">
        <v>847</v>
      </c>
      <c r="N101" s="2">
        <v>42.78</v>
      </c>
      <c r="O101" s="1" t="s">
        <v>16</v>
      </c>
    </row>
    <row r="102" spans="1:15" x14ac:dyDescent="0.25">
      <c r="A102" s="1" t="s">
        <v>122</v>
      </c>
      <c r="B102" s="3">
        <v>86</v>
      </c>
      <c r="C102" s="3">
        <v>1</v>
      </c>
      <c r="D102" s="3">
        <v>81</v>
      </c>
      <c r="E102" s="3">
        <v>4</v>
      </c>
      <c r="F102" s="3">
        <v>0</v>
      </c>
      <c r="G102" s="3">
        <v>0</v>
      </c>
      <c r="H102" s="3">
        <v>0</v>
      </c>
      <c r="I102" s="2">
        <v>1.1599999999999999</v>
      </c>
      <c r="J102" s="2">
        <v>94.19</v>
      </c>
      <c r="K102" s="2">
        <v>1.23</v>
      </c>
      <c r="L102" s="3">
        <v>86</v>
      </c>
      <c r="M102" s="3">
        <v>0</v>
      </c>
      <c r="N102" s="2">
        <v>0</v>
      </c>
      <c r="O102" s="1" t="s">
        <v>18</v>
      </c>
    </row>
    <row r="103" spans="1:15" x14ac:dyDescent="0.25">
      <c r="A103" s="1" t="s">
        <v>123</v>
      </c>
      <c r="B103" s="3">
        <v>2019</v>
      </c>
      <c r="C103" s="3">
        <v>80</v>
      </c>
      <c r="D103" s="3">
        <v>1620</v>
      </c>
      <c r="E103" s="3">
        <v>319</v>
      </c>
      <c r="F103" s="3">
        <v>11</v>
      </c>
      <c r="G103" s="3">
        <v>0</v>
      </c>
      <c r="H103" s="3">
        <v>4</v>
      </c>
      <c r="I103" s="2">
        <v>3.96</v>
      </c>
      <c r="J103" s="2">
        <v>80.239999999999995</v>
      </c>
      <c r="K103" s="2">
        <v>4.9400000000000004</v>
      </c>
      <c r="L103" s="3">
        <v>1947</v>
      </c>
      <c r="M103" s="3">
        <v>72</v>
      </c>
      <c r="N103" s="2">
        <v>3.7</v>
      </c>
      <c r="O103" s="1" t="s">
        <v>18</v>
      </c>
    </row>
    <row r="104" spans="1:15" x14ac:dyDescent="0.25">
      <c r="A104" s="1" t="s">
        <v>124</v>
      </c>
      <c r="B104" s="3">
        <v>6321</v>
      </c>
      <c r="C104" s="3">
        <v>112</v>
      </c>
      <c r="D104" s="3">
        <v>4825</v>
      </c>
      <c r="E104" s="3">
        <v>1384</v>
      </c>
      <c r="F104" s="3">
        <v>49</v>
      </c>
      <c r="G104" s="3">
        <v>0</v>
      </c>
      <c r="H104" s="3">
        <v>178</v>
      </c>
      <c r="I104" s="2">
        <v>1.77</v>
      </c>
      <c r="J104" s="2">
        <v>76.33</v>
      </c>
      <c r="K104" s="2">
        <v>2.3199999999999998</v>
      </c>
      <c r="L104" s="3">
        <v>5639</v>
      </c>
      <c r="M104" s="3">
        <v>682</v>
      </c>
      <c r="N104" s="2">
        <v>12.09</v>
      </c>
      <c r="O104" s="1" t="s">
        <v>18</v>
      </c>
    </row>
    <row r="105" spans="1:15" x14ac:dyDescent="0.25">
      <c r="A105" s="1" t="s">
        <v>125</v>
      </c>
      <c r="B105" s="3">
        <v>9690</v>
      </c>
      <c r="C105" s="3">
        <v>91</v>
      </c>
      <c r="D105" s="3">
        <v>6260</v>
      </c>
      <c r="E105" s="3">
        <v>3339</v>
      </c>
      <c r="F105" s="3">
        <v>395</v>
      </c>
      <c r="G105" s="3">
        <v>6</v>
      </c>
      <c r="H105" s="3">
        <v>681</v>
      </c>
      <c r="I105" s="2">
        <v>0.94</v>
      </c>
      <c r="J105" s="2">
        <v>64.599999999999994</v>
      </c>
      <c r="K105" s="2">
        <v>1.45</v>
      </c>
      <c r="L105" s="3">
        <v>7153</v>
      </c>
      <c r="M105" s="3">
        <v>2537</v>
      </c>
      <c r="N105" s="2">
        <v>35.47</v>
      </c>
      <c r="O105" s="1" t="s">
        <v>20</v>
      </c>
    </row>
    <row r="106" spans="1:15" x14ac:dyDescent="0.25">
      <c r="A106" s="1" t="s">
        <v>126</v>
      </c>
      <c r="B106" s="3">
        <v>3664</v>
      </c>
      <c r="C106" s="3">
        <v>99</v>
      </c>
      <c r="D106" s="3">
        <v>1645</v>
      </c>
      <c r="E106" s="3">
        <v>1920</v>
      </c>
      <c r="F106" s="3">
        <v>24</v>
      </c>
      <c r="G106" s="3">
        <v>0</v>
      </c>
      <c r="H106" s="3">
        <v>6</v>
      </c>
      <c r="I106" s="2">
        <v>2.7</v>
      </c>
      <c r="J106" s="2">
        <v>44.9</v>
      </c>
      <c r="K106" s="2">
        <v>6.02</v>
      </c>
      <c r="L106" s="3">
        <v>2992</v>
      </c>
      <c r="M106" s="3">
        <v>672</v>
      </c>
      <c r="N106" s="2">
        <v>22.46</v>
      </c>
      <c r="O106" s="1" t="s">
        <v>20</v>
      </c>
    </row>
    <row r="107" spans="1:15" x14ac:dyDescent="0.25">
      <c r="A107" s="1" t="s">
        <v>127</v>
      </c>
      <c r="B107" s="3">
        <v>8904</v>
      </c>
      <c r="C107" s="3">
        <v>124</v>
      </c>
      <c r="D107" s="3">
        <v>8601</v>
      </c>
      <c r="E107" s="3">
        <v>179</v>
      </c>
      <c r="F107" s="3">
        <v>7</v>
      </c>
      <c r="G107" s="3">
        <v>0</v>
      </c>
      <c r="H107" s="3">
        <v>1</v>
      </c>
      <c r="I107" s="2">
        <v>1.39</v>
      </c>
      <c r="J107" s="2">
        <v>96.6</v>
      </c>
      <c r="K107" s="2">
        <v>1.44</v>
      </c>
      <c r="L107" s="3">
        <v>8800</v>
      </c>
      <c r="M107" s="3">
        <v>104</v>
      </c>
      <c r="N107" s="2">
        <v>1.18</v>
      </c>
      <c r="O107" s="1" t="s">
        <v>28</v>
      </c>
    </row>
    <row r="108" spans="1:15" x14ac:dyDescent="0.25">
      <c r="A108" s="1" t="s">
        <v>128</v>
      </c>
      <c r="B108" s="3">
        <v>3369</v>
      </c>
      <c r="C108" s="3">
        <v>15</v>
      </c>
      <c r="D108" s="3">
        <v>2547</v>
      </c>
      <c r="E108" s="3">
        <v>807</v>
      </c>
      <c r="F108" s="3">
        <v>67</v>
      </c>
      <c r="G108" s="3">
        <v>0</v>
      </c>
      <c r="H108" s="3">
        <v>19</v>
      </c>
      <c r="I108" s="2">
        <v>0.45</v>
      </c>
      <c r="J108" s="2">
        <v>75.599999999999994</v>
      </c>
      <c r="K108" s="2">
        <v>0.59</v>
      </c>
      <c r="L108" s="3">
        <v>2999</v>
      </c>
      <c r="M108" s="3">
        <v>370</v>
      </c>
      <c r="N108" s="2">
        <v>12.34</v>
      </c>
      <c r="O108" s="1" t="s">
        <v>34</v>
      </c>
    </row>
    <row r="109" spans="1:15" x14ac:dyDescent="0.25">
      <c r="A109" s="1" t="s">
        <v>129</v>
      </c>
      <c r="B109" s="3">
        <v>2513</v>
      </c>
      <c r="C109" s="3">
        <v>124</v>
      </c>
      <c r="D109" s="3">
        <v>1913</v>
      </c>
      <c r="E109" s="3">
        <v>476</v>
      </c>
      <c r="F109" s="3">
        <v>3</v>
      </c>
      <c r="G109" s="3">
        <v>1</v>
      </c>
      <c r="H109" s="3">
        <v>2</v>
      </c>
      <c r="I109" s="2">
        <v>4.93</v>
      </c>
      <c r="J109" s="2">
        <v>76.12</v>
      </c>
      <c r="K109" s="2">
        <v>6.48</v>
      </c>
      <c r="L109" s="3">
        <v>2475</v>
      </c>
      <c r="M109" s="3">
        <v>38</v>
      </c>
      <c r="N109" s="2">
        <v>1.54</v>
      </c>
      <c r="O109" s="1" t="s">
        <v>20</v>
      </c>
    </row>
    <row r="110" spans="1:15" x14ac:dyDescent="0.25">
      <c r="A110" s="1" t="s">
        <v>130</v>
      </c>
      <c r="B110" s="3">
        <v>701</v>
      </c>
      <c r="C110" s="3">
        <v>9</v>
      </c>
      <c r="D110" s="3">
        <v>665</v>
      </c>
      <c r="E110" s="3">
        <v>27</v>
      </c>
      <c r="F110" s="3">
        <v>1</v>
      </c>
      <c r="G110" s="3">
        <v>0</v>
      </c>
      <c r="H110" s="3">
        <v>0</v>
      </c>
      <c r="I110" s="2">
        <v>1.28</v>
      </c>
      <c r="J110" s="2">
        <v>94.86</v>
      </c>
      <c r="K110" s="2">
        <v>1.35</v>
      </c>
      <c r="L110" s="3">
        <v>677</v>
      </c>
      <c r="M110" s="3">
        <v>24</v>
      </c>
      <c r="N110" s="2">
        <v>3.55</v>
      </c>
      <c r="O110" s="1" t="s">
        <v>18</v>
      </c>
    </row>
    <row r="111" spans="1:15" x14ac:dyDescent="0.25">
      <c r="A111" s="1" t="s">
        <v>131</v>
      </c>
      <c r="B111" s="3">
        <v>6208</v>
      </c>
      <c r="C111" s="3">
        <v>156</v>
      </c>
      <c r="D111" s="3">
        <v>4653</v>
      </c>
      <c r="E111" s="3">
        <v>1399</v>
      </c>
      <c r="F111" s="3">
        <v>37</v>
      </c>
      <c r="G111" s="3">
        <v>0</v>
      </c>
      <c r="H111" s="3">
        <v>223</v>
      </c>
      <c r="I111" s="2">
        <v>2.5099999999999998</v>
      </c>
      <c r="J111" s="2">
        <v>74.95</v>
      </c>
      <c r="K111" s="2">
        <v>3.35</v>
      </c>
      <c r="L111" s="3">
        <v>5923</v>
      </c>
      <c r="M111" s="3">
        <v>285</v>
      </c>
      <c r="N111" s="2">
        <v>4.8099999999999996</v>
      </c>
      <c r="O111" s="1" t="s">
        <v>20</v>
      </c>
    </row>
    <row r="112" spans="1:15" x14ac:dyDescent="0.25">
      <c r="A112" s="1" t="s">
        <v>132</v>
      </c>
      <c r="B112" s="3">
        <v>344</v>
      </c>
      <c r="C112" s="3">
        <v>10</v>
      </c>
      <c r="D112" s="3">
        <v>332</v>
      </c>
      <c r="E112" s="3">
        <v>2</v>
      </c>
      <c r="F112" s="3">
        <v>0</v>
      </c>
      <c r="G112" s="3">
        <v>0</v>
      </c>
      <c r="H112" s="3">
        <v>0</v>
      </c>
      <c r="I112" s="2">
        <v>2.91</v>
      </c>
      <c r="J112" s="2">
        <v>96.51</v>
      </c>
      <c r="K112" s="2">
        <v>3.01</v>
      </c>
      <c r="L112" s="3">
        <v>343</v>
      </c>
      <c r="M112" s="3">
        <v>1</v>
      </c>
      <c r="N112" s="2">
        <v>0.28999999999999998</v>
      </c>
      <c r="O112" s="1" t="s">
        <v>20</v>
      </c>
    </row>
    <row r="113" spans="1:15" x14ac:dyDescent="0.25">
      <c r="A113" s="1" t="s">
        <v>133</v>
      </c>
      <c r="B113" s="3">
        <v>395489</v>
      </c>
      <c r="C113" s="3">
        <v>44022</v>
      </c>
      <c r="D113" s="3">
        <v>303810</v>
      </c>
      <c r="E113" s="3">
        <v>47657</v>
      </c>
      <c r="F113" s="3">
        <v>4973</v>
      </c>
      <c r="G113" s="3">
        <v>342</v>
      </c>
      <c r="H113" s="3">
        <v>8588</v>
      </c>
      <c r="I113" s="2">
        <v>11.13</v>
      </c>
      <c r="J113" s="2">
        <v>76.819999999999993</v>
      </c>
      <c r="K113" s="2">
        <v>14.49</v>
      </c>
      <c r="L113" s="3">
        <v>349396</v>
      </c>
      <c r="M113" s="3">
        <v>46093</v>
      </c>
      <c r="N113" s="2">
        <v>13.19</v>
      </c>
      <c r="O113" s="1" t="s">
        <v>24</v>
      </c>
    </row>
    <row r="114" spans="1:15" x14ac:dyDescent="0.25">
      <c r="A114" s="1" t="s">
        <v>134</v>
      </c>
      <c r="B114" s="3">
        <v>23154</v>
      </c>
      <c r="C114" s="3">
        <v>748</v>
      </c>
      <c r="D114" s="3">
        <v>16154</v>
      </c>
      <c r="E114" s="3">
        <v>6252</v>
      </c>
      <c r="F114" s="3">
        <v>120</v>
      </c>
      <c r="G114" s="3">
        <v>13</v>
      </c>
      <c r="H114" s="3">
        <v>245</v>
      </c>
      <c r="I114" s="2">
        <v>3.23</v>
      </c>
      <c r="J114" s="2">
        <v>69.77</v>
      </c>
      <c r="K114" s="2">
        <v>4.63</v>
      </c>
      <c r="L114" s="3">
        <v>21115</v>
      </c>
      <c r="M114" s="3">
        <v>2039</v>
      </c>
      <c r="N114" s="2">
        <v>9.66</v>
      </c>
      <c r="O114" s="1" t="s">
        <v>18</v>
      </c>
    </row>
    <row r="115" spans="1:15" x14ac:dyDescent="0.25">
      <c r="A115" s="1" t="s">
        <v>135</v>
      </c>
      <c r="B115" s="3">
        <v>116</v>
      </c>
      <c r="C115" s="3">
        <v>4</v>
      </c>
      <c r="D115" s="3">
        <v>104</v>
      </c>
      <c r="E115" s="3">
        <v>8</v>
      </c>
      <c r="F115" s="3">
        <v>0</v>
      </c>
      <c r="G115" s="3">
        <v>0</v>
      </c>
      <c r="H115" s="3">
        <v>0</v>
      </c>
      <c r="I115" s="2">
        <v>3.45</v>
      </c>
      <c r="J115" s="2">
        <v>89.66</v>
      </c>
      <c r="K115" s="2">
        <v>3.85</v>
      </c>
      <c r="L115" s="3">
        <v>109</v>
      </c>
      <c r="M115" s="3">
        <v>7</v>
      </c>
      <c r="N115" s="2">
        <v>6.42</v>
      </c>
      <c r="O115" s="1" t="s">
        <v>18</v>
      </c>
    </row>
    <row r="116" spans="1:15" x14ac:dyDescent="0.25">
      <c r="A116" s="1" t="s">
        <v>136</v>
      </c>
      <c r="B116" s="3">
        <v>289</v>
      </c>
      <c r="C116" s="3">
        <v>0</v>
      </c>
      <c r="D116" s="3">
        <v>222</v>
      </c>
      <c r="E116" s="3">
        <v>67</v>
      </c>
      <c r="F116" s="3">
        <v>1</v>
      </c>
      <c r="G116" s="3">
        <v>0</v>
      </c>
      <c r="H116" s="3">
        <v>4</v>
      </c>
      <c r="I116" s="2">
        <v>0</v>
      </c>
      <c r="J116" s="2">
        <v>76.819999999999993</v>
      </c>
      <c r="K116" s="2">
        <v>0</v>
      </c>
      <c r="L116" s="3">
        <v>287</v>
      </c>
      <c r="M116" s="3">
        <v>2</v>
      </c>
      <c r="N116" s="2">
        <v>0.7</v>
      </c>
      <c r="O116" s="1" t="s">
        <v>28</v>
      </c>
    </row>
    <row r="117" spans="1:15" x14ac:dyDescent="0.25">
      <c r="A117" s="1" t="s">
        <v>137</v>
      </c>
      <c r="B117" s="3">
        <v>2893</v>
      </c>
      <c r="C117" s="3">
        <v>45</v>
      </c>
      <c r="D117" s="3">
        <v>809</v>
      </c>
      <c r="E117" s="3">
        <v>2039</v>
      </c>
      <c r="F117" s="3">
        <v>94</v>
      </c>
      <c r="G117" s="3">
        <v>2</v>
      </c>
      <c r="H117" s="3">
        <v>70</v>
      </c>
      <c r="I117" s="2">
        <v>1.56</v>
      </c>
      <c r="J117" s="2">
        <v>27.96</v>
      </c>
      <c r="K117" s="2">
        <v>5.56</v>
      </c>
      <c r="L117" s="3">
        <v>2188</v>
      </c>
      <c r="M117" s="3">
        <v>705</v>
      </c>
      <c r="N117" s="2">
        <v>32.22</v>
      </c>
      <c r="O117" s="1" t="s">
        <v>18</v>
      </c>
    </row>
    <row r="118" spans="1:15" x14ac:dyDescent="0.25">
      <c r="A118" s="1" t="s">
        <v>138</v>
      </c>
      <c r="B118" s="3">
        <v>20887</v>
      </c>
      <c r="C118" s="3">
        <v>316</v>
      </c>
      <c r="D118" s="3">
        <v>16553</v>
      </c>
      <c r="E118" s="3">
        <v>4018</v>
      </c>
      <c r="F118" s="3">
        <v>609</v>
      </c>
      <c r="G118" s="3">
        <v>3</v>
      </c>
      <c r="H118" s="3">
        <v>115</v>
      </c>
      <c r="I118" s="2">
        <v>1.51</v>
      </c>
      <c r="J118" s="2">
        <v>79.25</v>
      </c>
      <c r="K118" s="2">
        <v>1.91</v>
      </c>
      <c r="L118" s="3">
        <v>17562</v>
      </c>
      <c r="M118" s="3">
        <v>3325</v>
      </c>
      <c r="N118" s="2">
        <v>18.93</v>
      </c>
      <c r="O118" s="1" t="s">
        <v>16</v>
      </c>
    </row>
    <row r="119" spans="1:15" x14ac:dyDescent="0.25">
      <c r="A119" s="1" t="s">
        <v>139</v>
      </c>
      <c r="B119" s="3">
        <v>1701</v>
      </c>
      <c r="C119" s="3">
        <v>11</v>
      </c>
      <c r="D119" s="3">
        <v>0</v>
      </c>
      <c r="E119" s="3">
        <v>1690</v>
      </c>
      <c r="F119" s="3">
        <v>32</v>
      </c>
      <c r="G119" s="3">
        <v>0</v>
      </c>
      <c r="H119" s="3">
        <v>0</v>
      </c>
      <c r="I119" s="2">
        <v>0.65</v>
      </c>
      <c r="J119" s="2">
        <v>0</v>
      </c>
      <c r="K119" s="2" t="s">
        <v>54</v>
      </c>
      <c r="L119" s="3">
        <v>1507</v>
      </c>
      <c r="M119" s="3">
        <v>194</v>
      </c>
      <c r="N119" s="2">
        <v>12.87</v>
      </c>
      <c r="O119" s="1" t="s">
        <v>20</v>
      </c>
    </row>
    <row r="120" spans="1:15" x14ac:dyDescent="0.25">
      <c r="A120" s="1" t="s">
        <v>140</v>
      </c>
      <c r="B120" s="3">
        <v>1843</v>
      </c>
      <c r="C120" s="3">
        <v>8</v>
      </c>
      <c r="D120" s="3">
        <v>101</v>
      </c>
      <c r="E120" s="3">
        <v>1734</v>
      </c>
      <c r="F120" s="3">
        <v>68</v>
      </c>
      <c r="G120" s="3">
        <v>0</v>
      </c>
      <c r="H120" s="3">
        <v>26</v>
      </c>
      <c r="I120" s="2">
        <v>0.43</v>
      </c>
      <c r="J120" s="2">
        <v>5.48</v>
      </c>
      <c r="K120" s="2">
        <v>7.92</v>
      </c>
      <c r="L120" s="3">
        <v>1344</v>
      </c>
      <c r="M120" s="3">
        <v>499</v>
      </c>
      <c r="N120" s="2">
        <v>37.130000000000003</v>
      </c>
      <c r="O120" s="1" t="s">
        <v>20</v>
      </c>
    </row>
    <row r="121" spans="1:15" x14ac:dyDescent="0.25">
      <c r="A121" s="1" t="s">
        <v>141</v>
      </c>
      <c r="B121" s="3">
        <v>18752</v>
      </c>
      <c r="C121" s="3">
        <v>48</v>
      </c>
      <c r="D121" s="3">
        <v>13754</v>
      </c>
      <c r="E121" s="3">
        <v>4950</v>
      </c>
      <c r="F121" s="3">
        <v>139</v>
      </c>
      <c r="G121" s="3">
        <v>3</v>
      </c>
      <c r="H121" s="3">
        <v>626</v>
      </c>
      <c r="I121" s="2">
        <v>0.26</v>
      </c>
      <c r="J121" s="2">
        <v>73.349999999999994</v>
      </c>
      <c r="K121" s="2">
        <v>0.35</v>
      </c>
      <c r="L121" s="3">
        <v>17844</v>
      </c>
      <c r="M121" s="3">
        <v>908</v>
      </c>
      <c r="N121" s="2">
        <v>5.09</v>
      </c>
      <c r="O121" s="1" t="s">
        <v>34</v>
      </c>
    </row>
    <row r="122" spans="1:15" x14ac:dyDescent="0.25">
      <c r="A122" s="1" t="s">
        <v>142</v>
      </c>
      <c r="B122" s="3">
        <v>53413</v>
      </c>
      <c r="C122" s="3">
        <v>6160</v>
      </c>
      <c r="D122" s="3">
        <v>189</v>
      </c>
      <c r="E122" s="3">
        <v>47064</v>
      </c>
      <c r="F122" s="3">
        <v>419</v>
      </c>
      <c r="G122" s="3">
        <v>1</v>
      </c>
      <c r="H122" s="3">
        <v>0</v>
      </c>
      <c r="I122" s="2">
        <v>11.53</v>
      </c>
      <c r="J122" s="2">
        <v>0.35</v>
      </c>
      <c r="K122" s="2">
        <v>3259.26</v>
      </c>
      <c r="L122" s="3">
        <v>52132</v>
      </c>
      <c r="M122" s="3">
        <v>1281</v>
      </c>
      <c r="N122" s="2">
        <v>2.46</v>
      </c>
      <c r="O122" s="1" t="s">
        <v>18</v>
      </c>
    </row>
    <row r="123" spans="1:15" x14ac:dyDescent="0.25">
      <c r="A123" s="1" t="s">
        <v>143</v>
      </c>
      <c r="B123" s="3">
        <v>1557</v>
      </c>
      <c r="C123" s="3">
        <v>22</v>
      </c>
      <c r="D123" s="3">
        <v>1514</v>
      </c>
      <c r="E123" s="3">
        <v>21</v>
      </c>
      <c r="F123" s="3">
        <v>1</v>
      </c>
      <c r="G123" s="3">
        <v>0</v>
      </c>
      <c r="H123" s="3">
        <v>1</v>
      </c>
      <c r="I123" s="2">
        <v>1.41</v>
      </c>
      <c r="J123" s="2">
        <v>97.24</v>
      </c>
      <c r="K123" s="2">
        <v>1.45</v>
      </c>
      <c r="L123" s="3">
        <v>1555</v>
      </c>
      <c r="M123" s="3">
        <v>2</v>
      </c>
      <c r="N123" s="2">
        <v>0.13</v>
      </c>
      <c r="O123" s="1" t="s">
        <v>28</v>
      </c>
    </row>
    <row r="124" spans="1:15" x14ac:dyDescent="0.25">
      <c r="A124" s="1" t="s">
        <v>144</v>
      </c>
      <c r="B124" s="3">
        <v>3439</v>
      </c>
      <c r="C124" s="3">
        <v>108</v>
      </c>
      <c r="D124" s="3">
        <v>2492</v>
      </c>
      <c r="E124" s="3">
        <v>839</v>
      </c>
      <c r="F124" s="3">
        <v>0</v>
      </c>
      <c r="G124" s="3">
        <v>0</v>
      </c>
      <c r="H124" s="3">
        <v>0</v>
      </c>
      <c r="I124" s="2">
        <v>3.14</v>
      </c>
      <c r="J124" s="2">
        <v>72.459999999999994</v>
      </c>
      <c r="K124" s="2">
        <v>4.33</v>
      </c>
      <c r="L124" s="3">
        <v>3147</v>
      </c>
      <c r="M124" s="3">
        <v>292</v>
      </c>
      <c r="N124" s="2">
        <v>9.2799999999999994</v>
      </c>
      <c r="O124" s="1" t="s">
        <v>24</v>
      </c>
    </row>
    <row r="125" spans="1:15" x14ac:dyDescent="0.25">
      <c r="A125" s="1" t="s">
        <v>145</v>
      </c>
      <c r="B125" s="3">
        <v>1132</v>
      </c>
      <c r="C125" s="3">
        <v>69</v>
      </c>
      <c r="D125" s="3">
        <v>1027</v>
      </c>
      <c r="E125" s="3">
        <v>36</v>
      </c>
      <c r="F125" s="3">
        <v>0</v>
      </c>
      <c r="G125" s="3">
        <v>0</v>
      </c>
      <c r="H125" s="3">
        <v>0</v>
      </c>
      <c r="I125" s="2">
        <v>6.1</v>
      </c>
      <c r="J125" s="2">
        <v>90.72</v>
      </c>
      <c r="K125" s="2">
        <v>6.72</v>
      </c>
      <c r="L125" s="3">
        <v>1105</v>
      </c>
      <c r="M125" s="3">
        <v>27</v>
      </c>
      <c r="N125" s="2">
        <v>2.44</v>
      </c>
      <c r="O125" s="1" t="s">
        <v>20</v>
      </c>
    </row>
    <row r="126" spans="1:15" x14ac:dyDescent="0.25">
      <c r="A126" s="1" t="s">
        <v>146</v>
      </c>
      <c r="B126" s="3">
        <v>41180</v>
      </c>
      <c r="C126" s="3">
        <v>860</v>
      </c>
      <c r="D126" s="3">
        <v>18203</v>
      </c>
      <c r="E126" s="3">
        <v>22117</v>
      </c>
      <c r="F126" s="3">
        <v>648</v>
      </c>
      <c r="G126" s="3">
        <v>2</v>
      </c>
      <c r="H126" s="3">
        <v>829</v>
      </c>
      <c r="I126" s="2">
        <v>2.09</v>
      </c>
      <c r="J126" s="2">
        <v>44.2</v>
      </c>
      <c r="K126" s="2">
        <v>4.72</v>
      </c>
      <c r="L126" s="3">
        <v>37225</v>
      </c>
      <c r="M126" s="3">
        <v>3955</v>
      </c>
      <c r="N126" s="2">
        <v>10.62</v>
      </c>
      <c r="O126" s="1" t="s">
        <v>20</v>
      </c>
    </row>
    <row r="127" spans="1:15" x14ac:dyDescent="0.25">
      <c r="A127" s="1" t="s">
        <v>147</v>
      </c>
      <c r="B127" s="3">
        <v>10213</v>
      </c>
      <c r="C127" s="3">
        <v>466</v>
      </c>
      <c r="D127" s="3">
        <v>5564</v>
      </c>
      <c r="E127" s="3">
        <v>4183</v>
      </c>
      <c r="F127" s="3">
        <v>127</v>
      </c>
      <c r="G127" s="3">
        <v>6</v>
      </c>
      <c r="H127" s="3">
        <v>137</v>
      </c>
      <c r="I127" s="2">
        <v>4.5599999999999996</v>
      </c>
      <c r="J127" s="2">
        <v>54.48</v>
      </c>
      <c r="K127" s="2">
        <v>8.3800000000000008</v>
      </c>
      <c r="L127" s="3">
        <v>9249</v>
      </c>
      <c r="M127" s="3">
        <v>964</v>
      </c>
      <c r="N127" s="2">
        <v>10.42</v>
      </c>
      <c r="O127" s="1" t="s">
        <v>18</v>
      </c>
    </row>
    <row r="128" spans="1:15" x14ac:dyDescent="0.25">
      <c r="A128" s="1" t="s">
        <v>148</v>
      </c>
      <c r="B128" s="3">
        <v>9132</v>
      </c>
      <c r="C128" s="3">
        <v>255</v>
      </c>
      <c r="D128" s="3">
        <v>8752</v>
      </c>
      <c r="E128" s="3">
        <v>125</v>
      </c>
      <c r="F128" s="3">
        <v>15</v>
      </c>
      <c r="G128" s="3">
        <v>0</v>
      </c>
      <c r="H128" s="3">
        <v>0</v>
      </c>
      <c r="I128" s="2">
        <v>2.79</v>
      </c>
      <c r="J128" s="2">
        <v>95.84</v>
      </c>
      <c r="K128" s="2">
        <v>2.91</v>
      </c>
      <c r="L128" s="3">
        <v>9034</v>
      </c>
      <c r="M128" s="3">
        <v>98</v>
      </c>
      <c r="N128" s="2">
        <v>1.08</v>
      </c>
      <c r="O128" s="1" t="s">
        <v>18</v>
      </c>
    </row>
    <row r="129" spans="1:15" x14ac:dyDescent="0.25">
      <c r="A129" s="1" t="s">
        <v>149</v>
      </c>
      <c r="B129" s="3">
        <v>77058</v>
      </c>
      <c r="C129" s="3">
        <v>393</v>
      </c>
      <c r="D129" s="3">
        <v>57028</v>
      </c>
      <c r="E129" s="3">
        <v>19637</v>
      </c>
      <c r="F129" s="3">
        <v>1053</v>
      </c>
      <c r="G129" s="3">
        <v>9</v>
      </c>
      <c r="H129" s="3">
        <v>1729</v>
      </c>
      <c r="I129" s="2">
        <v>0.51</v>
      </c>
      <c r="J129" s="2">
        <v>74.010000000000005</v>
      </c>
      <c r="K129" s="2">
        <v>0.69</v>
      </c>
      <c r="L129" s="3">
        <v>68400</v>
      </c>
      <c r="M129" s="3">
        <v>8658</v>
      </c>
      <c r="N129" s="2">
        <v>12.66</v>
      </c>
      <c r="O129" s="1" t="s">
        <v>16</v>
      </c>
    </row>
    <row r="130" spans="1:15" x14ac:dyDescent="0.25">
      <c r="A130" s="1" t="s">
        <v>150</v>
      </c>
      <c r="B130" s="3">
        <v>274289</v>
      </c>
      <c r="C130" s="3">
        <v>5842</v>
      </c>
      <c r="D130" s="3">
        <v>241026</v>
      </c>
      <c r="E130" s="3">
        <v>27421</v>
      </c>
      <c r="F130" s="3">
        <v>1176</v>
      </c>
      <c r="G130" s="3">
        <v>20</v>
      </c>
      <c r="H130" s="3">
        <v>3592</v>
      </c>
      <c r="I130" s="2">
        <v>2.13</v>
      </c>
      <c r="J130" s="2">
        <v>87.87</v>
      </c>
      <c r="K130" s="2">
        <v>2.42</v>
      </c>
      <c r="L130" s="3">
        <v>266096</v>
      </c>
      <c r="M130" s="3">
        <v>8193</v>
      </c>
      <c r="N130" s="2">
        <v>3.08</v>
      </c>
      <c r="O130" s="1" t="s">
        <v>16</v>
      </c>
    </row>
    <row r="131" spans="1:15" x14ac:dyDescent="0.25">
      <c r="A131" s="1" t="s">
        <v>151</v>
      </c>
      <c r="B131" s="3">
        <v>61442</v>
      </c>
      <c r="C131" s="3">
        <v>1322</v>
      </c>
      <c r="D131" s="3">
        <v>35086</v>
      </c>
      <c r="E131" s="3">
        <v>25034</v>
      </c>
      <c r="F131" s="3">
        <v>1146</v>
      </c>
      <c r="G131" s="3">
        <v>28</v>
      </c>
      <c r="H131" s="3">
        <v>955</v>
      </c>
      <c r="I131" s="2">
        <v>2.15</v>
      </c>
      <c r="J131" s="2">
        <v>57.1</v>
      </c>
      <c r="K131" s="2">
        <v>3.77</v>
      </c>
      <c r="L131" s="3">
        <v>54426</v>
      </c>
      <c r="M131" s="3">
        <v>7016</v>
      </c>
      <c r="N131" s="2">
        <v>12.89</v>
      </c>
      <c r="O131" s="1" t="s">
        <v>24</v>
      </c>
    </row>
    <row r="132" spans="1:15" x14ac:dyDescent="0.25">
      <c r="A132" s="1" t="s">
        <v>152</v>
      </c>
      <c r="B132" s="3">
        <v>62</v>
      </c>
      <c r="C132" s="3">
        <v>0</v>
      </c>
      <c r="D132" s="3">
        <v>11</v>
      </c>
      <c r="E132" s="3">
        <v>51</v>
      </c>
      <c r="F132" s="3">
        <v>0</v>
      </c>
      <c r="G132" s="3">
        <v>0</v>
      </c>
      <c r="H132" s="3">
        <v>0</v>
      </c>
      <c r="I132" s="2">
        <v>0</v>
      </c>
      <c r="J132" s="2">
        <v>17.739999999999998</v>
      </c>
      <c r="K132" s="2">
        <v>0</v>
      </c>
      <c r="L132" s="3">
        <v>19</v>
      </c>
      <c r="M132" s="3">
        <v>43</v>
      </c>
      <c r="N132" s="2">
        <v>226.32</v>
      </c>
      <c r="O132" s="1" t="s">
        <v>28</v>
      </c>
    </row>
    <row r="133" spans="1:15" x14ac:dyDescent="0.25">
      <c r="A133" s="1" t="s">
        <v>153</v>
      </c>
      <c r="B133" s="3">
        <v>4548</v>
      </c>
      <c r="C133" s="3">
        <v>43</v>
      </c>
      <c r="D133" s="3">
        <v>2905</v>
      </c>
      <c r="E133" s="3">
        <v>1600</v>
      </c>
      <c r="F133" s="3">
        <v>104</v>
      </c>
      <c r="G133" s="3">
        <v>2</v>
      </c>
      <c r="H133" s="3">
        <v>111</v>
      </c>
      <c r="I133" s="2">
        <v>0.95</v>
      </c>
      <c r="J133" s="2">
        <v>63.87</v>
      </c>
      <c r="K133" s="2">
        <v>1.48</v>
      </c>
      <c r="L133" s="3">
        <v>3748</v>
      </c>
      <c r="M133" s="3">
        <v>800</v>
      </c>
      <c r="N133" s="2">
        <v>21.34</v>
      </c>
      <c r="O133" s="1" t="s">
        <v>24</v>
      </c>
    </row>
    <row r="134" spans="1:15" x14ac:dyDescent="0.25">
      <c r="A134" s="1" t="s">
        <v>154</v>
      </c>
      <c r="B134" s="3">
        <v>389717</v>
      </c>
      <c r="C134" s="3">
        <v>18418</v>
      </c>
      <c r="D134" s="3">
        <v>272547</v>
      </c>
      <c r="E134" s="3">
        <v>98752</v>
      </c>
      <c r="F134" s="3">
        <v>13756</v>
      </c>
      <c r="G134" s="3">
        <v>575</v>
      </c>
      <c r="H134" s="3">
        <v>4697</v>
      </c>
      <c r="I134" s="2">
        <v>4.7300000000000004</v>
      </c>
      <c r="J134" s="2">
        <v>69.930000000000007</v>
      </c>
      <c r="K134" s="2">
        <v>6.76</v>
      </c>
      <c r="L134" s="3">
        <v>357681</v>
      </c>
      <c r="M134" s="3">
        <v>32036</v>
      </c>
      <c r="N134" s="2">
        <v>8.9600000000000009</v>
      </c>
      <c r="O134" s="1" t="s">
        <v>24</v>
      </c>
    </row>
    <row r="135" spans="1:15" x14ac:dyDescent="0.25">
      <c r="A135" s="1" t="s">
        <v>155</v>
      </c>
      <c r="B135" s="3">
        <v>82040</v>
      </c>
      <c r="C135" s="3">
        <v>1945</v>
      </c>
      <c r="D135" s="3">
        <v>26446</v>
      </c>
      <c r="E135" s="3">
        <v>53649</v>
      </c>
      <c r="F135" s="3">
        <v>1592</v>
      </c>
      <c r="G135" s="3">
        <v>13</v>
      </c>
      <c r="H135" s="3">
        <v>336</v>
      </c>
      <c r="I135" s="2">
        <v>2.37</v>
      </c>
      <c r="J135" s="2">
        <v>32.24</v>
      </c>
      <c r="K135" s="2">
        <v>7.35</v>
      </c>
      <c r="L135" s="3">
        <v>68898</v>
      </c>
      <c r="M135" s="3">
        <v>13142</v>
      </c>
      <c r="N135" s="2">
        <v>19.07</v>
      </c>
      <c r="O135" s="1" t="s">
        <v>28</v>
      </c>
    </row>
    <row r="136" spans="1:15" x14ac:dyDescent="0.25">
      <c r="A136" s="1" t="s">
        <v>156</v>
      </c>
      <c r="B136" s="3">
        <v>43402</v>
      </c>
      <c r="C136" s="3">
        <v>1676</v>
      </c>
      <c r="D136" s="3">
        <v>32856</v>
      </c>
      <c r="E136" s="3">
        <v>8870</v>
      </c>
      <c r="F136" s="3">
        <v>337</v>
      </c>
      <c r="G136" s="3">
        <v>5</v>
      </c>
      <c r="H136" s="3">
        <v>103</v>
      </c>
      <c r="I136" s="2">
        <v>3.86</v>
      </c>
      <c r="J136" s="2">
        <v>75.7</v>
      </c>
      <c r="K136" s="2">
        <v>5.0999999999999996</v>
      </c>
      <c r="L136" s="3">
        <v>40383</v>
      </c>
      <c r="M136" s="3">
        <v>3019</v>
      </c>
      <c r="N136" s="2">
        <v>7.48</v>
      </c>
      <c r="O136" s="1" t="s">
        <v>18</v>
      </c>
    </row>
    <row r="137" spans="1:15" x14ac:dyDescent="0.25">
      <c r="A137" s="1" t="s">
        <v>157</v>
      </c>
      <c r="B137" s="3">
        <v>50299</v>
      </c>
      <c r="C137" s="3">
        <v>1719</v>
      </c>
      <c r="D137" s="3">
        <v>35375</v>
      </c>
      <c r="E137" s="3">
        <v>13205</v>
      </c>
      <c r="F137" s="3">
        <v>135</v>
      </c>
      <c r="G137" s="3">
        <v>2</v>
      </c>
      <c r="H137" s="3">
        <v>158</v>
      </c>
      <c r="I137" s="2">
        <v>3.42</v>
      </c>
      <c r="J137" s="2">
        <v>70.33</v>
      </c>
      <c r="K137" s="2">
        <v>4.8600000000000003</v>
      </c>
      <c r="L137" s="3">
        <v>48771</v>
      </c>
      <c r="M137" s="3">
        <v>1528</v>
      </c>
      <c r="N137" s="2">
        <v>3.13</v>
      </c>
      <c r="O137" s="1" t="s">
        <v>18</v>
      </c>
    </row>
    <row r="138" spans="1:15" x14ac:dyDescent="0.25">
      <c r="A138" s="1" t="s">
        <v>158</v>
      </c>
      <c r="B138" s="3">
        <v>109597</v>
      </c>
      <c r="C138" s="3">
        <v>165</v>
      </c>
      <c r="D138" s="3">
        <v>106328</v>
      </c>
      <c r="E138" s="3">
        <v>3104</v>
      </c>
      <c r="F138" s="3">
        <v>292</v>
      </c>
      <c r="G138" s="3">
        <v>0</v>
      </c>
      <c r="H138" s="3">
        <v>304</v>
      </c>
      <c r="I138" s="2">
        <v>0.15</v>
      </c>
      <c r="J138" s="2">
        <v>97.02</v>
      </c>
      <c r="K138" s="2">
        <v>0.16</v>
      </c>
      <c r="L138" s="3">
        <v>107037</v>
      </c>
      <c r="M138" s="3">
        <v>2560</v>
      </c>
      <c r="N138" s="2">
        <v>2.39</v>
      </c>
      <c r="O138" s="1" t="s">
        <v>16</v>
      </c>
    </row>
    <row r="139" spans="1:15" x14ac:dyDescent="0.25">
      <c r="A139" s="1" t="s">
        <v>159</v>
      </c>
      <c r="B139" s="3">
        <v>45902</v>
      </c>
      <c r="C139" s="3">
        <v>2206</v>
      </c>
      <c r="D139" s="3">
        <v>25794</v>
      </c>
      <c r="E139" s="3">
        <v>17902</v>
      </c>
      <c r="F139" s="3">
        <v>1104</v>
      </c>
      <c r="G139" s="3">
        <v>19</v>
      </c>
      <c r="H139" s="3">
        <v>151</v>
      </c>
      <c r="I139" s="2">
        <v>4.8099999999999996</v>
      </c>
      <c r="J139" s="2">
        <v>56.19</v>
      </c>
      <c r="K139" s="2">
        <v>8.5500000000000007</v>
      </c>
      <c r="L139" s="3">
        <v>38139</v>
      </c>
      <c r="M139" s="3">
        <v>7763</v>
      </c>
      <c r="N139" s="2">
        <v>20.350000000000001</v>
      </c>
      <c r="O139" s="1" t="s">
        <v>18</v>
      </c>
    </row>
    <row r="140" spans="1:15" x14ac:dyDescent="0.25">
      <c r="A140" s="1" t="s">
        <v>160</v>
      </c>
      <c r="B140" s="3">
        <v>816680</v>
      </c>
      <c r="C140" s="3">
        <v>13334</v>
      </c>
      <c r="D140" s="3">
        <v>602249</v>
      </c>
      <c r="E140" s="3">
        <v>201097</v>
      </c>
      <c r="F140" s="3">
        <v>5607</v>
      </c>
      <c r="G140" s="3">
        <v>85</v>
      </c>
      <c r="H140" s="3">
        <v>3077</v>
      </c>
      <c r="I140" s="2">
        <v>1.63</v>
      </c>
      <c r="J140" s="2">
        <v>73.739999999999995</v>
      </c>
      <c r="K140" s="2">
        <v>2.21</v>
      </c>
      <c r="L140" s="3">
        <v>776212</v>
      </c>
      <c r="M140" s="3">
        <v>40468</v>
      </c>
      <c r="N140" s="2">
        <v>5.21</v>
      </c>
      <c r="O140" s="1" t="s">
        <v>18</v>
      </c>
    </row>
    <row r="141" spans="1:15" x14ac:dyDescent="0.25">
      <c r="A141" s="1" t="s">
        <v>161</v>
      </c>
      <c r="B141" s="3">
        <v>1879</v>
      </c>
      <c r="C141" s="3">
        <v>5</v>
      </c>
      <c r="D141" s="3">
        <v>975</v>
      </c>
      <c r="E141" s="3">
        <v>899</v>
      </c>
      <c r="F141" s="3">
        <v>58</v>
      </c>
      <c r="G141" s="3">
        <v>0</v>
      </c>
      <c r="H141" s="3">
        <v>57</v>
      </c>
      <c r="I141" s="2">
        <v>0.27</v>
      </c>
      <c r="J141" s="2">
        <v>51.89</v>
      </c>
      <c r="K141" s="2">
        <v>0.51</v>
      </c>
      <c r="L141" s="3">
        <v>1629</v>
      </c>
      <c r="M141" s="3">
        <v>250</v>
      </c>
      <c r="N141" s="2">
        <v>15.35</v>
      </c>
      <c r="O141" s="1" t="s">
        <v>20</v>
      </c>
    </row>
    <row r="142" spans="1:15" x14ac:dyDescent="0.25">
      <c r="A142" s="1" t="s">
        <v>162</v>
      </c>
      <c r="B142" s="3">
        <v>17</v>
      </c>
      <c r="C142" s="3">
        <v>0</v>
      </c>
      <c r="D142" s="3">
        <v>15</v>
      </c>
      <c r="E142" s="3">
        <v>2</v>
      </c>
      <c r="F142" s="3">
        <v>0</v>
      </c>
      <c r="G142" s="3">
        <v>0</v>
      </c>
      <c r="H142" s="3">
        <v>0</v>
      </c>
      <c r="I142" s="2">
        <v>0</v>
      </c>
      <c r="J142" s="2">
        <v>88.24</v>
      </c>
      <c r="K142" s="2">
        <v>0</v>
      </c>
      <c r="L142" s="3">
        <v>17</v>
      </c>
      <c r="M142" s="3">
        <v>0</v>
      </c>
      <c r="N142" s="2">
        <v>0</v>
      </c>
      <c r="O142" s="1" t="s">
        <v>24</v>
      </c>
    </row>
    <row r="143" spans="1:15" x14ac:dyDescent="0.25">
      <c r="A143" s="1" t="s">
        <v>163</v>
      </c>
      <c r="B143" s="3">
        <v>24</v>
      </c>
      <c r="C143" s="3">
        <v>0</v>
      </c>
      <c r="D143" s="3">
        <v>22</v>
      </c>
      <c r="E143" s="3">
        <v>2</v>
      </c>
      <c r="F143" s="3">
        <v>0</v>
      </c>
      <c r="G143" s="3">
        <v>0</v>
      </c>
      <c r="H143" s="3">
        <v>0</v>
      </c>
      <c r="I143" s="2">
        <v>0</v>
      </c>
      <c r="J143" s="2">
        <v>91.67</v>
      </c>
      <c r="K143" s="2">
        <v>0</v>
      </c>
      <c r="L143" s="3">
        <v>23</v>
      </c>
      <c r="M143" s="3">
        <v>1</v>
      </c>
      <c r="N143" s="2">
        <v>4.3499999999999996</v>
      </c>
      <c r="O143" s="1" t="s">
        <v>24</v>
      </c>
    </row>
    <row r="144" spans="1:15" x14ac:dyDescent="0.25">
      <c r="A144" s="1" t="s">
        <v>164</v>
      </c>
      <c r="B144" s="3">
        <v>52</v>
      </c>
      <c r="C144" s="3">
        <v>0</v>
      </c>
      <c r="D144" s="3">
        <v>39</v>
      </c>
      <c r="E144" s="3">
        <v>13</v>
      </c>
      <c r="F144" s="3">
        <v>0</v>
      </c>
      <c r="G144" s="3">
        <v>0</v>
      </c>
      <c r="H144" s="3">
        <v>0</v>
      </c>
      <c r="I144" s="2">
        <v>0</v>
      </c>
      <c r="J144" s="2">
        <v>75</v>
      </c>
      <c r="K144" s="2">
        <v>0</v>
      </c>
      <c r="L144" s="3">
        <v>50</v>
      </c>
      <c r="M144" s="3">
        <v>2</v>
      </c>
      <c r="N144" s="2">
        <v>4</v>
      </c>
      <c r="O144" s="1" t="s">
        <v>24</v>
      </c>
    </row>
    <row r="145" spans="1:15" x14ac:dyDescent="0.25">
      <c r="A145" s="1" t="s">
        <v>165</v>
      </c>
      <c r="B145" s="3">
        <v>699</v>
      </c>
      <c r="C145" s="3">
        <v>42</v>
      </c>
      <c r="D145" s="3">
        <v>657</v>
      </c>
      <c r="E145" s="3">
        <v>0</v>
      </c>
      <c r="F145" s="3">
        <v>0</v>
      </c>
      <c r="G145" s="3">
        <v>0</v>
      </c>
      <c r="H145" s="3">
        <v>0</v>
      </c>
      <c r="I145" s="2">
        <v>6.01</v>
      </c>
      <c r="J145" s="2">
        <v>93.99</v>
      </c>
      <c r="K145" s="2">
        <v>6.39</v>
      </c>
      <c r="L145" s="3">
        <v>699</v>
      </c>
      <c r="M145" s="3">
        <v>0</v>
      </c>
      <c r="N145" s="2">
        <v>0</v>
      </c>
      <c r="O145" s="1" t="s">
        <v>18</v>
      </c>
    </row>
    <row r="146" spans="1:15" x14ac:dyDescent="0.25">
      <c r="A146" s="1" t="s">
        <v>166</v>
      </c>
      <c r="B146" s="3">
        <v>865</v>
      </c>
      <c r="C146" s="3">
        <v>14</v>
      </c>
      <c r="D146" s="3">
        <v>734</v>
      </c>
      <c r="E146" s="3">
        <v>117</v>
      </c>
      <c r="F146" s="3">
        <v>2</v>
      </c>
      <c r="G146" s="3">
        <v>0</v>
      </c>
      <c r="H146" s="3">
        <v>38</v>
      </c>
      <c r="I146" s="2">
        <v>1.62</v>
      </c>
      <c r="J146" s="2">
        <v>84.86</v>
      </c>
      <c r="K146" s="2">
        <v>1.91</v>
      </c>
      <c r="L146" s="3">
        <v>746</v>
      </c>
      <c r="M146" s="3">
        <v>119</v>
      </c>
      <c r="N146" s="2">
        <v>15.95</v>
      </c>
      <c r="O146" s="1" t="s">
        <v>20</v>
      </c>
    </row>
    <row r="147" spans="1:15" x14ac:dyDescent="0.25">
      <c r="A147" s="1" t="s">
        <v>167</v>
      </c>
      <c r="B147" s="3">
        <v>268934</v>
      </c>
      <c r="C147" s="3">
        <v>2760</v>
      </c>
      <c r="D147" s="3">
        <v>222936</v>
      </c>
      <c r="E147" s="3">
        <v>43238</v>
      </c>
      <c r="F147" s="3">
        <v>1993</v>
      </c>
      <c r="G147" s="3">
        <v>27</v>
      </c>
      <c r="H147" s="3">
        <v>2613</v>
      </c>
      <c r="I147" s="2">
        <v>1.03</v>
      </c>
      <c r="J147" s="2">
        <v>82.9</v>
      </c>
      <c r="K147" s="2">
        <v>1.24</v>
      </c>
      <c r="L147" s="3">
        <v>253349</v>
      </c>
      <c r="M147" s="3">
        <v>15585</v>
      </c>
      <c r="N147" s="2">
        <v>6.15</v>
      </c>
      <c r="O147" s="1" t="s">
        <v>16</v>
      </c>
    </row>
    <row r="148" spans="1:15" x14ac:dyDescent="0.25">
      <c r="A148" s="1" t="s">
        <v>168</v>
      </c>
      <c r="B148" s="3">
        <v>9764</v>
      </c>
      <c r="C148" s="3">
        <v>194</v>
      </c>
      <c r="D148" s="3">
        <v>6477</v>
      </c>
      <c r="E148" s="3">
        <v>3093</v>
      </c>
      <c r="F148" s="3">
        <v>83</v>
      </c>
      <c r="G148" s="3">
        <v>3</v>
      </c>
      <c r="H148" s="3">
        <v>68</v>
      </c>
      <c r="I148" s="2">
        <v>1.99</v>
      </c>
      <c r="J148" s="2">
        <v>66.34</v>
      </c>
      <c r="K148" s="2">
        <v>3</v>
      </c>
      <c r="L148" s="3">
        <v>8948</v>
      </c>
      <c r="M148" s="3">
        <v>816</v>
      </c>
      <c r="N148" s="2">
        <v>9.1199999999999992</v>
      </c>
      <c r="O148" s="1" t="s">
        <v>20</v>
      </c>
    </row>
    <row r="149" spans="1:15" x14ac:dyDescent="0.25">
      <c r="A149" s="1" t="s">
        <v>169</v>
      </c>
      <c r="B149" s="3">
        <v>24141</v>
      </c>
      <c r="C149" s="3">
        <v>543</v>
      </c>
      <c r="D149" s="3">
        <v>0</v>
      </c>
      <c r="E149" s="3">
        <v>23598</v>
      </c>
      <c r="F149" s="3">
        <v>411</v>
      </c>
      <c r="G149" s="3">
        <v>9</v>
      </c>
      <c r="H149" s="3">
        <v>0</v>
      </c>
      <c r="I149" s="2">
        <v>2.25</v>
      </c>
      <c r="J149" s="2">
        <v>0</v>
      </c>
      <c r="K149" s="2" t="s">
        <v>54</v>
      </c>
      <c r="L149" s="3">
        <v>21253</v>
      </c>
      <c r="M149" s="3">
        <v>2888</v>
      </c>
      <c r="N149" s="2">
        <v>13.59</v>
      </c>
      <c r="O149" s="1" t="s">
        <v>18</v>
      </c>
    </row>
    <row r="150" spans="1:15" x14ac:dyDescent="0.25">
      <c r="A150" s="1" t="s">
        <v>170</v>
      </c>
      <c r="B150" s="3">
        <v>114</v>
      </c>
      <c r="C150" s="3">
        <v>0</v>
      </c>
      <c r="D150" s="3">
        <v>39</v>
      </c>
      <c r="E150" s="3">
        <v>75</v>
      </c>
      <c r="F150" s="3">
        <v>0</v>
      </c>
      <c r="G150" s="3">
        <v>0</v>
      </c>
      <c r="H150" s="3">
        <v>0</v>
      </c>
      <c r="I150" s="2">
        <v>0</v>
      </c>
      <c r="J150" s="2">
        <v>34.21</v>
      </c>
      <c r="K150" s="2">
        <v>0</v>
      </c>
      <c r="L150" s="3">
        <v>108</v>
      </c>
      <c r="M150" s="3">
        <v>6</v>
      </c>
      <c r="N150" s="2">
        <v>5.56</v>
      </c>
      <c r="O150" s="1" t="s">
        <v>20</v>
      </c>
    </row>
    <row r="151" spans="1:15" x14ac:dyDescent="0.25">
      <c r="A151" s="1" t="s">
        <v>171</v>
      </c>
      <c r="B151" s="3">
        <v>1783</v>
      </c>
      <c r="C151" s="3">
        <v>66</v>
      </c>
      <c r="D151" s="3">
        <v>1317</v>
      </c>
      <c r="E151" s="3">
        <v>400</v>
      </c>
      <c r="F151" s="3">
        <v>0</v>
      </c>
      <c r="G151" s="3">
        <v>0</v>
      </c>
      <c r="H151" s="3">
        <v>4</v>
      </c>
      <c r="I151" s="2">
        <v>3.7</v>
      </c>
      <c r="J151" s="2">
        <v>73.86</v>
      </c>
      <c r="K151" s="2">
        <v>5.01</v>
      </c>
      <c r="L151" s="3">
        <v>1711</v>
      </c>
      <c r="M151" s="3">
        <v>72</v>
      </c>
      <c r="N151" s="2">
        <v>4.21</v>
      </c>
      <c r="O151" s="1" t="s">
        <v>20</v>
      </c>
    </row>
    <row r="152" spans="1:15" x14ac:dyDescent="0.25">
      <c r="A152" s="1" t="s">
        <v>172</v>
      </c>
      <c r="B152" s="3">
        <v>50838</v>
      </c>
      <c r="C152" s="3">
        <v>27</v>
      </c>
      <c r="D152" s="3">
        <v>45692</v>
      </c>
      <c r="E152" s="3">
        <v>5119</v>
      </c>
      <c r="F152" s="3">
        <v>469</v>
      </c>
      <c r="G152" s="3">
        <v>0</v>
      </c>
      <c r="H152" s="3">
        <v>171</v>
      </c>
      <c r="I152" s="2">
        <v>0.05</v>
      </c>
      <c r="J152" s="2">
        <v>89.88</v>
      </c>
      <c r="K152" s="2">
        <v>0.06</v>
      </c>
      <c r="L152" s="3">
        <v>48035</v>
      </c>
      <c r="M152" s="3">
        <v>2803</v>
      </c>
      <c r="N152" s="2">
        <v>5.84</v>
      </c>
      <c r="O152" s="1" t="s">
        <v>28</v>
      </c>
    </row>
    <row r="153" spans="1:15" x14ac:dyDescent="0.25">
      <c r="A153" s="1" t="s">
        <v>173</v>
      </c>
      <c r="B153" s="3">
        <v>2181</v>
      </c>
      <c r="C153" s="3">
        <v>28</v>
      </c>
      <c r="D153" s="3">
        <v>1616</v>
      </c>
      <c r="E153" s="3">
        <v>537</v>
      </c>
      <c r="F153" s="3">
        <v>2</v>
      </c>
      <c r="G153" s="3">
        <v>0</v>
      </c>
      <c r="H153" s="3">
        <v>39</v>
      </c>
      <c r="I153" s="2">
        <v>1.28</v>
      </c>
      <c r="J153" s="2">
        <v>74.09</v>
      </c>
      <c r="K153" s="2">
        <v>1.73</v>
      </c>
      <c r="L153" s="3">
        <v>1980</v>
      </c>
      <c r="M153" s="3">
        <v>201</v>
      </c>
      <c r="N153" s="2">
        <v>10.15</v>
      </c>
      <c r="O153" s="1" t="s">
        <v>18</v>
      </c>
    </row>
    <row r="154" spans="1:15" x14ac:dyDescent="0.25">
      <c r="A154" s="1" t="s">
        <v>174</v>
      </c>
      <c r="B154" s="3">
        <v>2087</v>
      </c>
      <c r="C154" s="3">
        <v>116</v>
      </c>
      <c r="D154" s="3">
        <v>1733</v>
      </c>
      <c r="E154" s="3">
        <v>238</v>
      </c>
      <c r="F154" s="3">
        <v>5</v>
      </c>
      <c r="G154" s="3">
        <v>0</v>
      </c>
      <c r="H154" s="3">
        <v>55</v>
      </c>
      <c r="I154" s="2">
        <v>5.56</v>
      </c>
      <c r="J154" s="2">
        <v>83.04</v>
      </c>
      <c r="K154" s="2">
        <v>6.69</v>
      </c>
      <c r="L154" s="3">
        <v>1953</v>
      </c>
      <c r="M154" s="3">
        <v>134</v>
      </c>
      <c r="N154" s="2">
        <v>6.86</v>
      </c>
      <c r="O154" s="1" t="s">
        <v>18</v>
      </c>
    </row>
    <row r="155" spans="1:15" x14ac:dyDescent="0.25">
      <c r="A155" s="1" t="s">
        <v>175</v>
      </c>
      <c r="B155" s="3">
        <v>3196</v>
      </c>
      <c r="C155" s="3">
        <v>93</v>
      </c>
      <c r="D155" s="3">
        <v>1543</v>
      </c>
      <c r="E155" s="3">
        <v>1560</v>
      </c>
      <c r="F155" s="3">
        <v>18</v>
      </c>
      <c r="G155" s="3">
        <v>0</v>
      </c>
      <c r="H155" s="3">
        <v>22</v>
      </c>
      <c r="I155" s="2">
        <v>2.91</v>
      </c>
      <c r="J155" s="2">
        <v>48.28</v>
      </c>
      <c r="K155" s="2">
        <v>6.03</v>
      </c>
      <c r="L155" s="3">
        <v>3130</v>
      </c>
      <c r="M155" s="3">
        <v>66</v>
      </c>
      <c r="N155" s="2">
        <v>2.11</v>
      </c>
      <c r="O155" s="1" t="s">
        <v>16</v>
      </c>
    </row>
    <row r="156" spans="1:15" x14ac:dyDescent="0.25">
      <c r="A156" s="1" t="s">
        <v>176</v>
      </c>
      <c r="B156" s="3">
        <v>452529</v>
      </c>
      <c r="C156" s="3">
        <v>7067</v>
      </c>
      <c r="D156" s="3">
        <v>274925</v>
      </c>
      <c r="E156" s="3">
        <v>170537</v>
      </c>
      <c r="F156" s="3">
        <v>7096</v>
      </c>
      <c r="G156" s="3">
        <v>298</v>
      </c>
      <c r="H156" s="3">
        <v>9848</v>
      </c>
      <c r="I156" s="2">
        <v>1.56</v>
      </c>
      <c r="J156" s="2">
        <v>60.75</v>
      </c>
      <c r="K156" s="2">
        <v>2.57</v>
      </c>
      <c r="L156" s="3">
        <v>373628</v>
      </c>
      <c r="M156" s="3">
        <v>78901</v>
      </c>
      <c r="N156" s="2">
        <v>21.12</v>
      </c>
      <c r="O156" s="1" t="s">
        <v>20</v>
      </c>
    </row>
    <row r="157" spans="1:15" x14ac:dyDescent="0.25">
      <c r="A157" s="1" t="s">
        <v>177</v>
      </c>
      <c r="B157" s="3">
        <v>14203</v>
      </c>
      <c r="C157" s="3">
        <v>300</v>
      </c>
      <c r="D157" s="3">
        <v>13007</v>
      </c>
      <c r="E157" s="3">
        <v>896</v>
      </c>
      <c r="F157" s="3">
        <v>28</v>
      </c>
      <c r="G157" s="3">
        <v>1</v>
      </c>
      <c r="H157" s="3">
        <v>102</v>
      </c>
      <c r="I157" s="2">
        <v>2.11</v>
      </c>
      <c r="J157" s="2">
        <v>91.58</v>
      </c>
      <c r="K157" s="2">
        <v>2.31</v>
      </c>
      <c r="L157" s="3">
        <v>13816</v>
      </c>
      <c r="M157" s="3">
        <v>387</v>
      </c>
      <c r="N157" s="2">
        <v>2.8</v>
      </c>
      <c r="O157" s="1" t="s">
        <v>28</v>
      </c>
    </row>
    <row r="158" spans="1:15" x14ac:dyDescent="0.25">
      <c r="A158" s="1" t="s">
        <v>178</v>
      </c>
      <c r="B158" s="3">
        <v>2305</v>
      </c>
      <c r="C158" s="3">
        <v>46</v>
      </c>
      <c r="D158" s="3">
        <v>1175</v>
      </c>
      <c r="E158" s="3">
        <v>1084</v>
      </c>
      <c r="F158" s="3">
        <v>43</v>
      </c>
      <c r="G158" s="3">
        <v>1</v>
      </c>
      <c r="H158" s="3">
        <v>0</v>
      </c>
      <c r="I158" s="2">
        <v>2</v>
      </c>
      <c r="J158" s="2">
        <v>50.98</v>
      </c>
      <c r="K158" s="2">
        <v>3.91</v>
      </c>
      <c r="L158" s="3">
        <v>2211</v>
      </c>
      <c r="M158" s="3">
        <v>94</v>
      </c>
      <c r="N158" s="2">
        <v>4.25</v>
      </c>
      <c r="O158" s="1" t="s">
        <v>20</v>
      </c>
    </row>
    <row r="159" spans="1:15" x14ac:dyDescent="0.25">
      <c r="A159" s="1" t="s">
        <v>179</v>
      </c>
      <c r="B159" s="3">
        <v>272421</v>
      </c>
      <c r="C159" s="3">
        <v>28432</v>
      </c>
      <c r="D159" s="3">
        <v>150376</v>
      </c>
      <c r="E159" s="3">
        <v>93613</v>
      </c>
      <c r="F159" s="3">
        <v>0</v>
      </c>
      <c r="G159" s="3">
        <v>0</v>
      </c>
      <c r="H159" s="3">
        <v>0</v>
      </c>
      <c r="I159" s="2">
        <v>10.44</v>
      </c>
      <c r="J159" s="2">
        <v>55.2</v>
      </c>
      <c r="K159" s="2">
        <v>18.91</v>
      </c>
      <c r="L159" s="3">
        <v>264836</v>
      </c>
      <c r="M159" s="3">
        <v>7585</v>
      </c>
      <c r="N159" s="2">
        <v>2.86</v>
      </c>
      <c r="O159" s="1" t="s">
        <v>18</v>
      </c>
    </row>
    <row r="160" spans="1:15" x14ac:dyDescent="0.25">
      <c r="A160" s="1" t="s">
        <v>180</v>
      </c>
      <c r="B160" s="3">
        <v>2805</v>
      </c>
      <c r="C160" s="3">
        <v>11</v>
      </c>
      <c r="D160" s="3">
        <v>2121</v>
      </c>
      <c r="E160" s="3">
        <v>673</v>
      </c>
      <c r="F160" s="3">
        <v>23</v>
      </c>
      <c r="G160" s="3">
        <v>0</v>
      </c>
      <c r="H160" s="3">
        <v>15</v>
      </c>
      <c r="I160" s="2">
        <v>0.39</v>
      </c>
      <c r="J160" s="2">
        <v>75.61</v>
      </c>
      <c r="K160" s="2">
        <v>0.52</v>
      </c>
      <c r="L160" s="3">
        <v>2730</v>
      </c>
      <c r="M160" s="3">
        <v>75</v>
      </c>
      <c r="N160" s="2">
        <v>2.75</v>
      </c>
      <c r="O160" s="1" t="s">
        <v>34</v>
      </c>
    </row>
    <row r="161" spans="1:15" x14ac:dyDescent="0.25">
      <c r="A161" s="1" t="s">
        <v>181</v>
      </c>
      <c r="B161" s="3">
        <v>11424</v>
      </c>
      <c r="C161" s="3">
        <v>720</v>
      </c>
      <c r="D161" s="3">
        <v>5939</v>
      </c>
      <c r="E161" s="3">
        <v>4765</v>
      </c>
      <c r="F161" s="3">
        <v>39</v>
      </c>
      <c r="G161" s="3">
        <v>3</v>
      </c>
      <c r="H161" s="3">
        <v>49</v>
      </c>
      <c r="I161" s="2">
        <v>6.3</v>
      </c>
      <c r="J161" s="2">
        <v>51.99</v>
      </c>
      <c r="K161" s="2">
        <v>12.12</v>
      </c>
      <c r="L161" s="3">
        <v>10992</v>
      </c>
      <c r="M161" s="3">
        <v>432</v>
      </c>
      <c r="N161" s="2">
        <v>3.93</v>
      </c>
      <c r="O161" s="1" t="s">
        <v>16</v>
      </c>
    </row>
    <row r="162" spans="1:15" x14ac:dyDescent="0.25">
      <c r="A162" s="1" t="s">
        <v>182</v>
      </c>
      <c r="B162" s="3">
        <v>1483</v>
      </c>
      <c r="C162" s="3">
        <v>24</v>
      </c>
      <c r="D162" s="3">
        <v>925</v>
      </c>
      <c r="E162" s="3">
        <v>534</v>
      </c>
      <c r="F162" s="3">
        <v>44</v>
      </c>
      <c r="G162" s="3">
        <v>1</v>
      </c>
      <c r="H162" s="3">
        <v>35</v>
      </c>
      <c r="I162" s="2">
        <v>1.62</v>
      </c>
      <c r="J162" s="2">
        <v>62.37</v>
      </c>
      <c r="K162" s="2">
        <v>2.59</v>
      </c>
      <c r="L162" s="3">
        <v>1079</v>
      </c>
      <c r="M162" s="3">
        <v>404</v>
      </c>
      <c r="N162" s="2">
        <v>37.44</v>
      </c>
      <c r="O162" s="1" t="s">
        <v>24</v>
      </c>
    </row>
    <row r="163" spans="1:15" x14ac:dyDescent="0.25">
      <c r="A163" s="1" t="s">
        <v>183</v>
      </c>
      <c r="B163" s="3">
        <v>79395</v>
      </c>
      <c r="C163" s="3">
        <v>5700</v>
      </c>
      <c r="D163" s="3">
        <v>0</v>
      </c>
      <c r="E163" s="3">
        <v>73695</v>
      </c>
      <c r="F163" s="3">
        <v>398</v>
      </c>
      <c r="G163" s="3">
        <v>3</v>
      </c>
      <c r="H163" s="3">
        <v>0</v>
      </c>
      <c r="I163" s="2">
        <v>7.18</v>
      </c>
      <c r="J163" s="2">
        <v>0</v>
      </c>
      <c r="K163" s="2" t="s">
        <v>54</v>
      </c>
      <c r="L163" s="3">
        <v>78048</v>
      </c>
      <c r="M163" s="3">
        <v>1347</v>
      </c>
      <c r="N163" s="2">
        <v>1.73</v>
      </c>
      <c r="O163" s="1" t="s">
        <v>18</v>
      </c>
    </row>
    <row r="164" spans="1:15" x14ac:dyDescent="0.25">
      <c r="A164" s="1" t="s">
        <v>184</v>
      </c>
      <c r="B164" s="3">
        <v>34477</v>
      </c>
      <c r="C164" s="3">
        <v>1978</v>
      </c>
      <c r="D164" s="3">
        <v>30900</v>
      </c>
      <c r="E164" s="3">
        <v>1599</v>
      </c>
      <c r="F164" s="3">
        <v>65</v>
      </c>
      <c r="G164" s="3">
        <v>1</v>
      </c>
      <c r="H164" s="3">
        <v>200</v>
      </c>
      <c r="I164" s="2">
        <v>5.74</v>
      </c>
      <c r="J164" s="2">
        <v>89.62</v>
      </c>
      <c r="K164" s="2">
        <v>6.4</v>
      </c>
      <c r="L164" s="3">
        <v>33634</v>
      </c>
      <c r="M164" s="3">
        <v>843</v>
      </c>
      <c r="N164" s="2">
        <v>2.5099999999999998</v>
      </c>
      <c r="O164" s="1" t="s">
        <v>18</v>
      </c>
    </row>
    <row r="165" spans="1:15" x14ac:dyDescent="0.25">
      <c r="A165" s="1" t="s">
        <v>185</v>
      </c>
      <c r="B165" s="3">
        <v>674</v>
      </c>
      <c r="C165" s="3">
        <v>40</v>
      </c>
      <c r="D165" s="3">
        <v>0</v>
      </c>
      <c r="E165" s="3">
        <v>634</v>
      </c>
      <c r="F165" s="3">
        <v>24</v>
      </c>
      <c r="G165" s="3">
        <v>2</v>
      </c>
      <c r="H165" s="3">
        <v>0</v>
      </c>
      <c r="I165" s="2">
        <v>5.93</v>
      </c>
      <c r="J165" s="2">
        <v>0</v>
      </c>
      <c r="K165" s="2" t="s">
        <v>54</v>
      </c>
      <c r="L165" s="3">
        <v>522</v>
      </c>
      <c r="M165" s="3">
        <v>152</v>
      </c>
      <c r="N165" s="2">
        <v>29.12</v>
      </c>
      <c r="O165" s="1" t="s">
        <v>16</v>
      </c>
    </row>
    <row r="166" spans="1:15" x14ac:dyDescent="0.25">
      <c r="A166" s="1" t="s">
        <v>186</v>
      </c>
      <c r="B166" s="3">
        <v>462</v>
      </c>
      <c r="C166" s="3">
        <v>7</v>
      </c>
      <c r="D166" s="3">
        <v>440</v>
      </c>
      <c r="E166" s="3">
        <v>15</v>
      </c>
      <c r="F166" s="3">
        <v>4</v>
      </c>
      <c r="G166" s="3">
        <v>0</v>
      </c>
      <c r="H166" s="3">
        <v>0</v>
      </c>
      <c r="I166" s="2">
        <v>1.52</v>
      </c>
      <c r="J166" s="2">
        <v>95.24</v>
      </c>
      <c r="K166" s="2">
        <v>1.59</v>
      </c>
      <c r="L166" s="3">
        <v>451</v>
      </c>
      <c r="M166" s="3">
        <v>11</v>
      </c>
      <c r="N166" s="2">
        <v>2.44</v>
      </c>
      <c r="O166" s="1" t="s">
        <v>28</v>
      </c>
    </row>
    <row r="167" spans="1:15" x14ac:dyDescent="0.25">
      <c r="A167" s="1" t="s">
        <v>187</v>
      </c>
      <c r="B167" s="3">
        <v>7235</v>
      </c>
      <c r="C167" s="3">
        <v>60</v>
      </c>
      <c r="D167" s="3">
        <v>6028</v>
      </c>
      <c r="E167" s="3">
        <v>1147</v>
      </c>
      <c r="F167" s="3">
        <v>43</v>
      </c>
      <c r="G167" s="3">
        <v>1</v>
      </c>
      <c r="H167" s="3">
        <v>58</v>
      </c>
      <c r="I167" s="2">
        <v>0.83</v>
      </c>
      <c r="J167" s="2">
        <v>83.32</v>
      </c>
      <c r="K167" s="2">
        <v>1</v>
      </c>
      <c r="L167" s="3">
        <v>6921</v>
      </c>
      <c r="M167" s="3">
        <v>314</v>
      </c>
      <c r="N167" s="2">
        <v>4.54</v>
      </c>
      <c r="O167" s="1" t="s">
        <v>18</v>
      </c>
    </row>
    <row r="168" spans="1:15" x14ac:dyDescent="0.25">
      <c r="A168" s="1" t="s">
        <v>188</v>
      </c>
      <c r="B168" s="3">
        <v>509</v>
      </c>
      <c r="C168" s="3">
        <v>21</v>
      </c>
      <c r="D168" s="3">
        <v>183</v>
      </c>
      <c r="E168" s="3">
        <v>305</v>
      </c>
      <c r="F168" s="3">
        <v>0</v>
      </c>
      <c r="G168" s="3">
        <v>0</v>
      </c>
      <c r="H168" s="3">
        <v>0</v>
      </c>
      <c r="I168" s="2">
        <v>4.13</v>
      </c>
      <c r="J168" s="2">
        <v>35.950000000000003</v>
      </c>
      <c r="K168" s="2">
        <v>11.48</v>
      </c>
      <c r="L168" s="3">
        <v>509</v>
      </c>
      <c r="M168" s="3">
        <v>0</v>
      </c>
      <c r="N168" s="2">
        <v>0</v>
      </c>
      <c r="O168" s="1" t="s">
        <v>20</v>
      </c>
    </row>
    <row r="169" spans="1:15" x14ac:dyDescent="0.25">
      <c r="A169" s="1" t="s">
        <v>189</v>
      </c>
      <c r="B169" s="3">
        <v>3297</v>
      </c>
      <c r="C169" s="3">
        <v>58</v>
      </c>
      <c r="D169" s="3">
        <v>3111</v>
      </c>
      <c r="E169" s="3">
        <v>128</v>
      </c>
      <c r="F169" s="3">
        <v>6</v>
      </c>
      <c r="G169" s="3">
        <v>0</v>
      </c>
      <c r="H169" s="3">
        <v>2</v>
      </c>
      <c r="I169" s="2">
        <v>1.76</v>
      </c>
      <c r="J169" s="2">
        <v>94.36</v>
      </c>
      <c r="K169" s="2">
        <v>1.86</v>
      </c>
      <c r="L169" s="3">
        <v>3250</v>
      </c>
      <c r="M169" s="3">
        <v>47</v>
      </c>
      <c r="N169" s="2">
        <v>1.45</v>
      </c>
      <c r="O169" s="1" t="s">
        <v>34</v>
      </c>
    </row>
    <row r="170" spans="1:15" x14ac:dyDescent="0.25">
      <c r="A170" s="1" t="s">
        <v>190</v>
      </c>
      <c r="B170" s="3">
        <v>24</v>
      </c>
      <c r="C170" s="3">
        <v>0</v>
      </c>
      <c r="D170" s="3">
        <v>0</v>
      </c>
      <c r="E170" s="3">
        <v>24</v>
      </c>
      <c r="F170" s="3">
        <v>0</v>
      </c>
      <c r="G170" s="3">
        <v>0</v>
      </c>
      <c r="H170" s="3">
        <v>0</v>
      </c>
      <c r="I170" s="2">
        <v>0</v>
      </c>
      <c r="J170" s="2">
        <v>0</v>
      </c>
      <c r="K170" s="2">
        <v>0</v>
      </c>
      <c r="L170" s="3">
        <v>24</v>
      </c>
      <c r="M170" s="3">
        <v>0</v>
      </c>
      <c r="N170" s="2">
        <v>0</v>
      </c>
      <c r="O170" s="1" t="s">
        <v>34</v>
      </c>
    </row>
    <row r="171" spans="1:15" x14ac:dyDescent="0.25">
      <c r="A171" s="1" t="s">
        <v>191</v>
      </c>
      <c r="B171" s="3">
        <v>874</v>
      </c>
      <c r="C171" s="3">
        <v>18</v>
      </c>
      <c r="D171" s="3">
        <v>607</v>
      </c>
      <c r="E171" s="3">
        <v>249</v>
      </c>
      <c r="F171" s="3">
        <v>6</v>
      </c>
      <c r="G171" s="3">
        <v>0</v>
      </c>
      <c r="H171" s="3">
        <v>8</v>
      </c>
      <c r="I171" s="2">
        <v>2.06</v>
      </c>
      <c r="J171" s="2">
        <v>69.45</v>
      </c>
      <c r="K171" s="2">
        <v>2.97</v>
      </c>
      <c r="L171" s="3">
        <v>783</v>
      </c>
      <c r="M171" s="3">
        <v>91</v>
      </c>
      <c r="N171" s="2">
        <v>11.62</v>
      </c>
      <c r="O171" s="1" t="s">
        <v>20</v>
      </c>
    </row>
    <row r="172" spans="1:15" x14ac:dyDescent="0.25">
      <c r="A172" s="1" t="s">
        <v>192</v>
      </c>
      <c r="B172" s="3">
        <v>148</v>
      </c>
      <c r="C172" s="3">
        <v>8</v>
      </c>
      <c r="D172" s="3">
        <v>128</v>
      </c>
      <c r="E172" s="3">
        <v>12</v>
      </c>
      <c r="F172" s="3">
        <v>1</v>
      </c>
      <c r="G172" s="3">
        <v>0</v>
      </c>
      <c r="H172" s="3">
        <v>0</v>
      </c>
      <c r="I172" s="2">
        <v>5.41</v>
      </c>
      <c r="J172" s="2">
        <v>86.49</v>
      </c>
      <c r="K172" s="2">
        <v>6.25</v>
      </c>
      <c r="L172" s="3">
        <v>137</v>
      </c>
      <c r="M172" s="3">
        <v>11</v>
      </c>
      <c r="N172" s="2">
        <v>8.0299999999999994</v>
      </c>
      <c r="O172" s="1" t="s">
        <v>24</v>
      </c>
    </row>
    <row r="173" spans="1:15" x14ac:dyDescent="0.25">
      <c r="A173" s="1" t="s">
        <v>193</v>
      </c>
      <c r="B173" s="3">
        <v>1455</v>
      </c>
      <c r="C173" s="3">
        <v>50</v>
      </c>
      <c r="D173" s="3">
        <v>1157</v>
      </c>
      <c r="E173" s="3">
        <v>248</v>
      </c>
      <c r="F173" s="3">
        <v>3</v>
      </c>
      <c r="G173" s="3">
        <v>0</v>
      </c>
      <c r="H173" s="3">
        <v>15</v>
      </c>
      <c r="I173" s="2">
        <v>3.44</v>
      </c>
      <c r="J173" s="2">
        <v>79.52</v>
      </c>
      <c r="K173" s="2">
        <v>4.32</v>
      </c>
      <c r="L173" s="3">
        <v>1381</v>
      </c>
      <c r="M173" s="3">
        <v>74</v>
      </c>
      <c r="N173" s="2">
        <v>5.36</v>
      </c>
      <c r="O173" s="1" t="s">
        <v>16</v>
      </c>
    </row>
    <row r="174" spans="1:15" x14ac:dyDescent="0.25">
      <c r="A174" s="1" t="s">
        <v>194</v>
      </c>
      <c r="B174" s="3">
        <v>227019</v>
      </c>
      <c r="C174" s="3">
        <v>5630</v>
      </c>
      <c r="D174" s="3">
        <v>210469</v>
      </c>
      <c r="E174" s="3">
        <v>10920</v>
      </c>
      <c r="F174" s="3">
        <v>919</v>
      </c>
      <c r="G174" s="3">
        <v>17</v>
      </c>
      <c r="H174" s="3">
        <v>982</v>
      </c>
      <c r="I174" s="2">
        <v>2.48</v>
      </c>
      <c r="J174" s="2">
        <v>92.71</v>
      </c>
      <c r="K174" s="2">
        <v>2.67</v>
      </c>
      <c r="L174" s="3">
        <v>220572</v>
      </c>
      <c r="M174" s="3">
        <v>6447</v>
      </c>
      <c r="N174" s="2">
        <v>2.92</v>
      </c>
      <c r="O174" s="1" t="s">
        <v>18</v>
      </c>
    </row>
    <row r="175" spans="1:15" x14ac:dyDescent="0.25">
      <c r="A175" s="1" t="s">
        <v>195</v>
      </c>
      <c r="B175" s="3">
        <v>4290259</v>
      </c>
      <c r="C175" s="3">
        <v>148011</v>
      </c>
      <c r="D175" s="3">
        <v>1325804</v>
      </c>
      <c r="E175" s="3">
        <v>2816444</v>
      </c>
      <c r="F175" s="3">
        <v>56336</v>
      </c>
      <c r="G175" s="3">
        <v>1076</v>
      </c>
      <c r="H175" s="3">
        <v>27941</v>
      </c>
      <c r="I175" s="2">
        <v>3.45</v>
      </c>
      <c r="J175" s="2">
        <v>30.9</v>
      </c>
      <c r="K175" s="2">
        <v>11.16</v>
      </c>
      <c r="L175" s="3">
        <v>3834677</v>
      </c>
      <c r="M175" s="3">
        <v>455582</v>
      </c>
      <c r="N175" s="2">
        <v>11.88</v>
      </c>
      <c r="O175" s="1" t="s">
        <v>24</v>
      </c>
    </row>
    <row r="176" spans="1:15" x14ac:dyDescent="0.25">
      <c r="A176" s="1" t="s">
        <v>196</v>
      </c>
      <c r="B176" s="3">
        <v>1128</v>
      </c>
      <c r="C176" s="3">
        <v>2</v>
      </c>
      <c r="D176" s="3">
        <v>986</v>
      </c>
      <c r="E176" s="3">
        <v>140</v>
      </c>
      <c r="F176" s="3">
        <v>13</v>
      </c>
      <c r="G176" s="3">
        <v>0</v>
      </c>
      <c r="H176" s="3">
        <v>4</v>
      </c>
      <c r="I176" s="2">
        <v>0.18</v>
      </c>
      <c r="J176" s="2">
        <v>87.41</v>
      </c>
      <c r="K176" s="2">
        <v>0.2</v>
      </c>
      <c r="L176" s="3">
        <v>1069</v>
      </c>
      <c r="M176" s="3">
        <v>59</v>
      </c>
      <c r="N176" s="2">
        <v>5.52</v>
      </c>
      <c r="O176" s="1" t="s">
        <v>20</v>
      </c>
    </row>
    <row r="177" spans="1:15" x14ac:dyDescent="0.25">
      <c r="A177" s="1" t="s">
        <v>197</v>
      </c>
      <c r="B177" s="3">
        <v>67096</v>
      </c>
      <c r="C177" s="3">
        <v>1636</v>
      </c>
      <c r="D177" s="3">
        <v>37202</v>
      </c>
      <c r="E177" s="3">
        <v>28258</v>
      </c>
      <c r="F177" s="3">
        <v>835</v>
      </c>
      <c r="G177" s="3">
        <v>11</v>
      </c>
      <c r="H177" s="3">
        <v>317</v>
      </c>
      <c r="I177" s="2">
        <v>2.44</v>
      </c>
      <c r="J177" s="2">
        <v>55.45</v>
      </c>
      <c r="K177" s="2">
        <v>4.4000000000000004</v>
      </c>
      <c r="L177" s="3">
        <v>60767</v>
      </c>
      <c r="M177" s="3">
        <v>6329</v>
      </c>
      <c r="N177" s="2">
        <v>10.42</v>
      </c>
      <c r="O177" s="1" t="s">
        <v>18</v>
      </c>
    </row>
    <row r="178" spans="1:15" x14ac:dyDescent="0.25">
      <c r="A178" s="1" t="s">
        <v>198</v>
      </c>
      <c r="B178" s="3">
        <v>59177</v>
      </c>
      <c r="C178" s="3">
        <v>345</v>
      </c>
      <c r="D178" s="3">
        <v>52510</v>
      </c>
      <c r="E178" s="3">
        <v>6322</v>
      </c>
      <c r="F178" s="3">
        <v>264</v>
      </c>
      <c r="G178" s="3">
        <v>1</v>
      </c>
      <c r="H178" s="3">
        <v>328</v>
      </c>
      <c r="I178" s="2">
        <v>0.57999999999999996</v>
      </c>
      <c r="J178" s="2">
        <v>88.73</v>
      </c>
      <c r="K178" s="2">
        <v>0.66</v>
      </c>
      <c r="L178" s="3">
        <v>57193</v>
      </c>
      <c r="M178" s="3">
        <v>1984</v>
      </c>
      <c r="N178" s="2">
        <v>3.47</v>
      </c>
      <c r="O178" s="1" t="s">
        <v>16</v>
      </c>
    </row>
    <row r="179" spans="1:15" x14ac:dyDescent="0.25">
      <c r="A179" s="1" t="s">
        <v>199</v>
      </c>
      <c r="B179" s="3">
        <v>301708</v>
      </c>
      <c r="C179" s="3">
        <v>45844</v>
      </c>
      <c r="D179" s="3">
        <v>1437</v>
      </c>
      <c r="E179" s="3">
        <v>254427</v>
      </c>
      <c r="F179" s="3">
        <v>688</v>
      </c>
      <c r="G179" s="3">
        <v>7</v>
      </c>
      <c r="H179" s="3">
        <v>3</v>
      </c>
      <c r="I179" s="2">
        <v>15.19</v>
      </c>
      <c r="J179" s="2">
        <v>0.48</v>
      </c>
      <c r="K179" s="2">
        <v>3190.26</v>
      </c>
      <c r="L179" s="3">
        <v>296944</v>
      </c>
      <c r="M179" s="3">
        <v>4764</v>
      </c>
      <c r="N179" s="2">
        <v>1.6</v>
      </c>
      <c r="O179" s="1" t="s">
        <v>18</v>
      </c>
    </row>
    <row r="180" spans="1:15" x14ac:dyDescent="0.25">
      <c r="A180" s="1" t="s">
        <v>200</v>
      </c>
      <c r="B180" s="3">
        <v>1202</v>
      </c>
      <c r="C180" s="3">
        <v>35</v>
      </c>
      <c r="D180" s="3">
        <v>951</v>
      </c>
      <c r="E180" s="3">
        <v>216</v>
      </c>
      <c r="F180" s="3">
        <v>10</v>
      </c>
      <c r="G180" s="3">
        <v>1</v>
      </c>
      <c r="H180" s="3">
        <v>3</v>
      </c>
      <c r="I180" s="2">
        <v>2.91</v>
      </c>
      <c r="J180" s="2">
        <v>79.12</v>
      </c>
      <c r="K180" s="2">
        <v>3.68</v>
      </c>
      <c r="L180" s="3">
        <v>1064</v>
      </c>
      <c r="M180" s="3">
        <v>138</v>
      </c>
      <c r="N180" s="2">
        <v>12.97</v>
      </c>
      <c r="O180" s="1" t="s">
        <v>24</v>
      </c>
    </row>
    <row r="181" spans="1:15" x14ac:dyDescent="0.25">
      <c r="A181" s="1" t="s">
        <v>201</v>
      </c>
      <c r="B181" s="3">
        <v>21209</v>
      </c>
      <c r="C181" s="3">
        <v>121</v>
      </c>
      <c r="D181" s="3">
        <v>11674</v>
      </c>
      <c r="E181" s="3">
        <v>9414</v>
      </c>
      <c r="F181" s="3">
        <v>678</v>
      </c>
      <c r="G181" s="3">
        <v>5</v>
      </c>
      <c r="H181" s="3">
        <v>569</v>
      </c>
      <c r="I181" s="2">
        <v>0.56999999999999995</v>
      </c>
      <c r="J181" s="2">
        <v>55.04</v>
      </c>
      <c r="K181" s="2">
        <v>1.04</v>
      </c>
      <c r="L181" s="3">
        <v>17149</v>
      </c>
      <c r="M181" s="3">
        <v>4060</v>
      </c>
      <c r="N181" s="2">
        <v>23.67</v>
      </c>
      <c r="O181" s="1" t="s">
        <v>18</v>
      </c>
    </row>
    <row r="182" spans="1:15" x14ac:dyDescent="0.25">
      <c r="A182" s="1" t="s">
        <v>202</v>
      </c>
      <c r="B182" s="3">
        <v>15988</v>
      </c>
      <c r="C182" s="3">
        <v>146</v>
      </c>
      <c r="D182" s="3">
        <v>9959</v>
      </c>
      <c r="E182" s="3">
        <v>5883</v>
      </c>
      <c r="F182" s="3">
        <v>525</v>
      </c>
      <c r="G182" s="3">
        <v>4</v>
      </c>
      <c r="H182" s="3">
        <v>213</v>
      </c>
      <c r="I182" s="2">
        <v>0.91</v>
      </c>
      <c r="J182" s="2">
        <v>62.29</v>
      </c>
      <c r="K182" s="2">
        <v>1.47</v>
      </c>
      <c r="L182" s="3">
        <v>12334</v>
      </c>
      <c r="M182" s="3">
        <v>3654</v>
      </c>
      <c r="N182" s="2">
        <v>29.63</v>
      </c>
      <c r="O182" s="1" t="s">
        <v>24</v>
      </c>
    </row>
    <row r="183" spans="1:15" x14ac:dyDescent="0.25">
      <c r="A183" s="1" t="s">
        <v>203</v>
      </c>
      <c r="B183" s="3">
        <v>431</v>
      </c>
      <c r="C183" s="3">
        <v>0</v>
      </c>
      <c r="D183" s="3">
        <v>365</v>
      </c>
      <c r="E183" s="3">
        <v>66</v>
      </c>
      <c r="F183" s="3">
        <v>11</v>
      </c>
      <c r="G183" s="3">
        <v>0</v>
      </c>
      <c r="H183" s="3">
        <v>0</v>
      </c>
      <c r="I183" s="2">
        <v>0</v>
      </c>
      <c r="J183" s="2">
        <v>84.69</v>
      </c>
      <c r="K183" s="2">
        <v>0</v>
      </c>
      <c r="L183" s="3">
        <v>384</v>
      </c>
      <c r="M183" s="3">
        <v>47</v>
      </c>
      <c r="N183" s="2">
        <v>12.24</v>
      </c>
      <c r="O183" s="1" t="s">
        <v>28</v>
      </c>
    </row>
    <row r="184" spans="1:15" x14ac:dyDescent="0.25">
      <c r="A184" s="1" t="s">
        <v>204</v>
      </c>
      <c r="B184" s="3">
        <v>10621</v>
      </c>
      <c r="C184" s="3">
        <v>78</v>
      </c>
      <c r="D184" s="3">
        <v>3752</v>
      </c>
      <c r="E184" s="3">
        <v>6791</v>
      </c>
      <c r="F184" s="3">
        <v>152</v>
      </c>
      <c r="G184" s="3">
        <v>2</v>
      </c>
      <c r="H184" s="3">
        <v>0</v>
      </c>
      <c r="I184" s="2">
        <v>0.73</v>
      </c>
      <c r="J184" s="2">
        <v>35.33</v>
      </c>
      <c r="K184" s="2">
        <v>2.08</v>
      </c>
      <c r="L184" s="3">
        <v>8916</v>
      </c>
      <c r="M184" s="3">
        <v>1705</v>
      </c>
      <c r="N184" s="2">
        <v>19.12</v>
      </c>
      <c r="O184" s="1" t="s">
        <v>16</v>
      </c>
    </row>
    <row r="185" spans="1:15" x14ac:dyDescent="0.25">
      <c r="A185" s="1" t="s">
        <v>205</v>
      </c>
      <c r="B185" s="3">
        <v>10</v>
      </c>
      <c r="C185" s="3">
        <v>1</v>
      </c>
      <c r="D185" s="3">
        <v>8</v>
      </c>
      <c r="E185" s="3">
        <v>1</v>
      </c>
      <c r="F185" s="3">
        <v>0</v>
      </c>
      <c r="G185" s="3">
        <v>0</v>
      </c>
      <c r="H185" s="3">
        <v>0</v>
      </c>
      <c r="I185" s="2">
        <v>10</v>
      </c>
      <c r="J185" s="2">
        <v>80</v>
      </c>
      <c r="K185" s="2">
        <v>12.5</v>
      </c>
      <c r="L185" s="3">
        <v>10</v>
      </c>
      <c r="M185" s="3">
        <v>0</v>
      </c>
      <c r="N185" s="2">
        <v>0</v>
      </c>
      <c r="O185" s="1" t="s">
        <v>20</v>
      </c>
    </row>
    <row r="186" spans="1:15" x14ac:dyDescent="0.25">
      <c r="A186" s="1" t="s">
        <v>206</v>
      </c>
      <c r="B186" s="3">
        <v>1691</v>
      </c>
      <c r="C186" s="3">
        <v>483</v>
      </c>
      <c r="D186" s="3">
        <v>833</v>
      </c>
      <c r="E186" s="3">
        <v>375</v>
      </c>
      <c r="F186" s="3">
        <v>10</v>
      </c>
      <c r="G186" s="3">
        <v>4</v>
      </c>
      <c r="H186" s="3">
        <v>36</v>
      </c>
      <c r="I186" s="2">
        <v>28.56</v>
      </c>
      <c r="J186" s="2">
        <v>49.26</v>
      </c>
      <c r="K186" s="2">
        <v>57.98</v>
      </c>
      <c r="L186" s="3">
        <v>1619</v>
      </c>
      <c r="M186" s="3">
        <v>72</v>
      </c>
      <c r="N186" s="2">
        <v>4.45</v>
      </c>
      <c r="O186" s="1" t="s">
        <v>16</v>
      </c>
    </row>
    <row r="187" spans="1:15" x14ac:dyDescent="0.25">
      <c r="A187" s="1" t="s">
        <v>207</v>
      </c>
      <c r="B187" s="3">
        <v>4552</v>
      </c>
      <c r="C187" s="3">
        <v>140</v>
      </c>
      <c r="D187" s="3">
        <v>2815</v>
      </c>
      <c r="E187" s="3">
        <v>1597</v>
      </c>
      <c r="F187" s="3">
        <v>71</v>
      </c>
      <c r="G187" s="3">
        <v>1</v>
      </c>
      <c r="H187" s="3">
        <v>465</v>
      </c>
      <c r="I187" s="2">
        <v>3.08</v>
      </c>
      <c r="J187" s="2">
        <v>61.84</v>
      </c>
      <c r="K187" s="2">
        <v>4.97</v>
      </c>
      <c r="L187" s="3">
        <v>3326</v>
      </c>
      <c r="M187" s="3">
        <v>1226</v>
      </c>
      <c r="N187" s="2">
        <v>36.86</v>
      </c>
      <c r="O187" s="1" t="s">
        <v>20</v>
      </c>
    </row>
    <row r="188" spans="1:15" x14ac:dyDescent="0.25">
      <c r="A188" s="1" t="s">
        <v>208</v>
      </c>
      <c r="B188" s="3">
        <v>2704</v>
      </c>
      <c r="C188" s="3">
        <v>36</v>
      </c>
      <c r="D188" s="3">
        <v>542</v>
      </c>
      <c r="E188" s="3">
        <v>2126</v>
      </c>
      <c r="F188" s="3">
        <v>192</v>
      </c>
      <c r="G188" s="3">
        <v>2</v>
      </c>
      <c r="H188" s="3">
        <v>24</v>
      </c>
      <c r="I188" s="2">
        <v>1.33</v>
      </c>
      <c r="J188" s="2">
        <v>20.04</v>
      </c>
      <c r="K188" s="2">
        <v>6.64</v>
      </c>
      <c r="L188" s="3">
        <v>1713</v>
      </c>
      <c r="M188" s="3">
        <v>991</v>
      </c>
      <c r="N188" s="2">
        <v>57.85</v>
      </c>
      <c r="O188" s="1" t="s">
        <v>20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5F6240-D2E2-4D7B-84D2-B218439824EE}">
  <dimension ref="A1"/>
  <sheetViews>
    <sheetView showGridLines="0" tabSelected="1" zoomScale="68" workbookViewId="0">
      <selection activeCell="AD14" sqref="AD14"/>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country_wise_latest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sriram ravichandran</dc:creator>
  <cp:lastModifiedBy>sriram ravichandran</cp:lastModifiedBy>
  <dcterms:created xsi:type="dcterms:W3CDTF">2026-02-05T13:14:41Z</dcterms:created>
  <dcterms:modified xsi:type="dcterms:W3CDTF">2026-02-05T13:14:44Z</dcterms:modified>
</cp:coreProperties>
</file>